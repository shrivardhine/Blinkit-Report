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mc:AlternateContent xmlns:mc="http://schemas.openxmlformats.org/markup-compatibility/2006">
    <mc:Choice Requires="x15">
      <x15ac:absPath xmlns:x15ac="http://schemas.microsoft.com/office/spreadsheetml/2010/11/ac" url="C:\Users\Shrivardhine C\Downloads\"/>
    </mc:Choice>
  </mc:AlternateContent>
  <xr:revisionPtr revIDLastSave="0" documentId="13_ncr:1_{474FFC9A-7284-45E5-8151-9C80F06711C8}"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Sheet2" sheetId="3" r:id="rId2"/>
    <sheet name="Sheet1" sheetId="2" r:id="rId3"/>
  </sheets>
  <definedNames>
    <definedName name="Slicer_Item_Type">#N/A</definedName>
    <definedName name="Slicer_Outlet_Location_Type">#N/A</definedName>
    <definedName name="Slicer_Outlet_Siz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 i="3" l="1"/>
  <c r="C7" i="3"/>
  <c r="E7" i="3"/>
  <c r="B7" i="3"/>
</calcChain>
</file>

<file path=xl/sharedStrings.xml><?xml version="1.0" encoding="utf-8"?>
<sst xmlns="http://schemas.openxmlformats.org/spreadsheetml/2006/main" count="59757" uniqueCount="1630">
  <si>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</si>
  <si>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</si>
  <si>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</si>
  <si>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</si>
  <si>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</si>
  <si>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</si>
  <si>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</si>
  <si>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</si>
  <si>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</si>
  <si>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</si>
  <si>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</si>
  <si>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</si>
  <si>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</si>
  <si>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</si>
  <si>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</si>
  <si>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</si>
  <si>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</si>
  <si>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</si>
  <si>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</si>
  <si>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</si>
  <si>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</si>
  <si>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</si>
  <si>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</si>
  <si>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</si>
  <si>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</si>
  <si>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</si>
  <si>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</si>
  <si>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</si>
  <si>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</si>
  <si>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</si>
  <si>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</si>
  <si>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</si>
  <si>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</si>
  <si>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</si>
  <si>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</si>
  <si>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</si>
  <si>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</si>
  <si>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</si>
  <si>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</si>
  <si>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</si>
  <si>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</si>
  <si>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</si>
  <si>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</si>
  <si>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</si>
  <si>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</si>
  <si>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</si>
  <si>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</si>
  <si>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</si>
  <si>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</si>
  <si>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</si>
  <si>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</si>
  <si>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</si>
  <si>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</si>
  <si>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</si>
  <si>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</si>
  <si>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</si>
  <si>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</si>
  <si>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</si>
  <si>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</si>
  <si>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</si>
  <si>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</si>
  <si>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</si>
  <si>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</si>
  <si>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</si>
  <si>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</si>
  <si>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</si>
  <si>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</si>
  <si>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</si>
  <si>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</si>
  <si>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</si>
  <si>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</si>
  <si>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</si>
  <si>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</si>
  <si>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</si>
  <si>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</si>
  <si>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</si>
  <si>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</si>
  <si>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</si>
  <si>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</si>
  <si>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</si>
  <si>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</si>
  <si>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</si>
  <si>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</si>
  <si>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</si>
  <si>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</si>
  <si>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</si>
  <si>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</si>
  <si>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</si>
  <si>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</si>
  <si>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</si>
  <si>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</si>
  <si>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</si>
  <si>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</si>
  <si>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</si>
  <si>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</si>
  <si>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</si>
  <si>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</si>
  <si>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</si>
  <si>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</si>
  <si>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</si>
  <si>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</si>
  <si>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</si>
  <si>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</si>
  <si>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</si>
  <si>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</si>
  <si>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</si>
  <si>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</si>
  <si>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</si>
  <si>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</si>
  <si>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</si>
  <si>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</si>
  <si>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</si>
  <si>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</si>
  <si>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</si>
  <si>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</si>
  <si>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</si>
  <si>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</si>
  <si>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</si>
  <si>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</si>
  <si>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</si>
  <si>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</si>
  <si>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</si>
  <si>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</si>
  <si>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</si>
  <si>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</si>
  <si>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</si>
  <si>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</si>
  <si>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</si>
  <si>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</si>
  <si>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</si>
  <si>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</si>
  <si>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</si>
  <si>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</si>
  <si>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</si>
  <si>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</si>
  <si>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</si>
  <si>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</si>
  <si>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</si>
  <si>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</si>
  <si>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</si>
  <si>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</si>
  <si>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</si>
  <si>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</si>
  <si>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</si>
  <si>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</si>
  <si>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</si>
  <si>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</si>
  <si>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</si>
  <si>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</si>
  <si>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</si>
  <si>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</si>
  <si>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</si>
  <si>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</si>
  <si>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</si>
  <si>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</si>
  <si>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</si>
  <si>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</si>
  <si>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</si>
  <si>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</si>
  <si>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</si>
  <si>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</si>
  <si>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</si>
  <si>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</si>
  <si>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</si>
  <si>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</si>
  <si>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</si>
  <si>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</si>
  <si>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</si>
  <si>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</si>
  <si>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</si>
  <si>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</si>
  <si>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</si>
  <si>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</si>
  <si>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</si>
  <si>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</si>
  <si>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</si>
  <si>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</si>
  <si>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</si>
  <si>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</si>
  <si>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</si>
  <si>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</si>
  <si>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</si>
  <si>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</si>
  <si>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</si>
  <si>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</si>
  <si>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</si>
  <si>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</si>
  <si>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</si>
  <si>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</si>
  <si>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</si>
  <si>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</si>
  <si>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</si>
  <si>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</si>
  <si>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</si>
  <si>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</si>
  <si>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</si>
  <si>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</si>
  <si>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</si>
  <si>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</si>
  <si>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</si>
  <si>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</si>
  <si>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</si>
  <si>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</si>
  <si>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</si>
  <si>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</si>
  <si>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</si>
  <si>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</si>
  <si>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</si>
  <si>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</si>
  <si>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</si>
  <si>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</si>
  <si>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</si>
  <si>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</si>
  <si>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</si>
  <si>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</si>
  <si>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</si>
  <si>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</si>
  <si>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</si>
  <si>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</si>
  <si>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</si>
  <si>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</si>
  <si>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</si>
  <si>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</si>
  <si>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</si>
  <si>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</si>
  <si>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</si>
  <si>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</si>
  <si>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</si>
  <si>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</si>
  <si>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</si>
  <si>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</si>
  <si>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</si>
  <si>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</si>
  <si>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</si>
  <si>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</si>
  <si>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</si>
  <si>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</si>
  <si>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</si>
  <si>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</si>
  <si>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</si>
  <si>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</si>
  <si>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</si>
  <si>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</si>
  <si>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</si>
  <si>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</si>
  <si>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</si>
  <si>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</si>
  <si>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</si>
  <si>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</si>
  <si>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</si>
  <si>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</si>
  <si>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</si>
  <si>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</si>
  <si>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</si>
  <si>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</si>
  <si>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</si>
  <si>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</si>
  <si>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</si>
  <si>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</si>
  <si>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</si>
  <si>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</si>
  <si>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</si>
  <si>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</si>
  <si>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</si>
  <si>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</si>
  <si>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</si>
  <si>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</si>
  <si>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</si>
  <si>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</si>
  <si>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</si>
  <si>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</si>
  <si>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</si>
  <si>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</si>
  <si>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</si>
  <si>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</si>
  <si>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</si>
  <si>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</si>
  <si>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</si>
  <si>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</si>
  <si>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</si>
  <si>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</si>
  <si>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</si>
  <si>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</si>
  <si>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</si>
  <si>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</si>
  <si>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</si>
  <si>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</si>
  <si>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</si>
  <si>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</si>
  <si>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</si>
  <si>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</si>
  <si>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</si>
  <si>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</si>
  <si>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</si>
  <si>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</si>
  <si>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</si>
  <si>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</si>
  <si>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</si>
  <si>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</si>
  <si>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</si>
  <si>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</si>
  <si>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</si>
  <si>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</si>
  <si>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</si>
  <si>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</si>
  <si>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</si>
  <si>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</si>
  <si>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</si>
  <si>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</si>
  <si>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</si>
  <si>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</si>
  <si>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</si>
  <si>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</si>
  <si>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</si>
  <si>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</si>
  <si>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</si>
  <si>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</si>
  <si>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</si>
  <si>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</si>
  <si>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</si>
  <si>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</si>
  <si>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</si>
  <si>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</si>
  <si>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</si>
  <si>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</si>
  <si>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</si>
  <si>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</si>
  <si>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</si>
  <si>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</si>
  <si>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</si>
  <si>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</si>
  <si>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</si>
  <si>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</si>
  <si>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</si>
  <si>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</si>
  <si>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</si>
  <si>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</si>
  <si>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</si>
  <si>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</si>
  <si>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</si>
  <si>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</si>
  <si>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</si>
  <si>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</si>
  <si>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</si>
  <si>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</si>
  <si>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</si>
  <si>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</si>
  <si>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</si>
  <si>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</si>
  <si>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</si>
  <si>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</si>
  <si>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</si>
  <si>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</si>
  <si>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</si>
  <si>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</si>
  <si>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</si>
  <si>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</si>
  <si>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</si>
  <si>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</si>
  <si>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</si>
  <si>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</si>
  <si>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</si>
  <si>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</si>
  <si>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</si>
  <si>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</si>
  <si>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</si>
  <si>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</si>
  <si>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</si>
  <si>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</si>
  <si>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</si>
  <si>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</si>
  <si>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</si>
  <si>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</si>
  <si>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</si>
  <si>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</si>
  <si>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</si>
  <si>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</si>
  <si>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</si>
  <si>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</si>
  <si>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</si>
  <si>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</si>
  <si>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</si>
  <si>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</si>
  <si>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</si>
  <si>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</si>
  <si>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</si>
  <si>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</si>
  <si>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</si>
  <si>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</si>
  <si>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</si>
  <si>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</si>
  <si>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</si>
  <si>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</si>
  <si>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</si>
  <si>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</si>
  <si>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</si>
  <si>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</si>
  <si>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</si>
  <si>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</si>
  <si>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</si>
  <si>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</si>
  <si>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</si>
  <si>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</si>
  <si>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</si>
  <si>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</si>
  <si>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</si>
  <si>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</si>
  <si>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</si>
  <si>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</si>
  <si>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</si>
  <si>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</si>
  <si>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</si>
  <si>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</si>
  <si>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</si>
  <si>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</si>
  <si>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</si>
  <si>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</si>
  <si>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</si>
  <si>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</si>
  <si>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</si>
  <si>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</si>
  <si>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</si>
  <si>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</si>
  <si>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</si>
  <si>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</si>
  <si>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</si>
  <si>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</si>
  <si>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</si>
  <si>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</si>
  <si>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</si>
  <si>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</si>
  <si>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</si>
  <si>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</si>
  <si>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</si>
  <si>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</si>
  <si>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</si>
  <si>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</si>
  <si>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</si>
  <si>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</si>
  <si>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</si>
  <si>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</si>
  <si>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</si>
  <si>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</si>
  <si>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</si>
  <si>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</si>
  <si>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</si>
  <si>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</si>
  <si>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</si>
  <si>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</si>
  <si>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</si>
  <si>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</si>
  <si>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</si>
  <si>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</si>
  <si>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</si>
  <si>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</si>
  <si>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</si>
  <si>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</si>
  <si>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</si>
  <si>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</si>
  <si>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</si>
  <si>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</si>
  <si>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</si>
  <si>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</si>
  <si>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</si>
  <si>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</si>
  <si>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</si>
  <si>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</si>
  <si>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</si>
  <si>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</si>
  <si>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</si>
  <si>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</si>
  <si>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</si>
  <si>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</si>
  <si>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</si>
  <si>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</si>
  <si>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</si>
  <si>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</si>
  <si>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</si>
  <si>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</si>
  <si>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</si>
  <si>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</si>
  <si>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</si>
  <si>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</si>
  <si>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</si>
  <si>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</si>
  <si>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</si>
  <si>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</si>
  <si>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</si>
  <si>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</si>
  <si>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</si>
  <si>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</si>
  <si>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</si>
  <si>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</si>
  <si>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</si>
  <si>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</si>
  <si>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</si>
  <si>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</si>
  <si>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</si>
  <si>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</si>
  <si>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</si>
  <si>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</si>
  <si>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</si>
  <si>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</si>
  <si>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</si>
  <si>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</si>
  <si>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</si>
  <si>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</si>
  <si>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</si>
  <si>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</si>
  <si>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</si>
  <si>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</si>
  <si>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</si>
  <si>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</si>
  <si>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</si>
  <si>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</si>
  <si>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</si>
  <si>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</si>
  <si>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</si>
  <si>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</si>
  <si>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</si>
  <si>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</si>
  <si>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</si>
  <si>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</si>
  <si>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</si>
  <si>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</si>
  <si>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</si>
  <si>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</si>
  <si>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</si>
  <si>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</si>
  <si>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</si>
  <si>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</si>
  <si>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</si>
  <si>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</si>
  <si>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</si>
  <si>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</si>
  <si>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</si>
  <si>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</si>
  <si>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</si>
  <si>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</si>
  <si>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</si>
  <si>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</si>
  <si>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</si>
  <si>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</si>
  <si>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</si>
  <si>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</si>
  <si>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</si>
  <si>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</si>
  <si>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</si>
  <si>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</si>
  <si>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</si>
  <si>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</si>
  <si>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</si>
  <si>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</si>
  <si>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</si>
  <si>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</si>
  <si>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</si>
  <si>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</si>
  <si>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</si>
  <si>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</si>
  <si>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</si>
  <si>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</si>
  <si>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</si>
  <si>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</si>
  <si>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</si>
  <si>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</si>
  <si>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</si>
  <si>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</si>
  <si>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</si>
  <si>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</si>
  <si>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</si>
  <si>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</si>
  <si>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</si>
  <si>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</si>
  <si>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</si>
  <si>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</si>
  <si>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</si>
  <si>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</si>
  <si>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</si>
  <si>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</si>
  <si>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</si>
  <si>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</si>
  <si>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</si>
  <si>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</si>
  <si>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</si>
  <si>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</si>
  <si>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</si>
  <si>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</si>
  <si>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</si>
  <si>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</si>
  <si>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</si>
  <si>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</si>
  <si>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</si>
  <si>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</si>
  <si>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</si>
  <si>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</si>
  <si>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</si>
  <si>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</si>
  <si>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</si>
  <si>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</si>
  <si>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</si>
  <si>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</si>
  <si>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</si>
  <si>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</si>
  <si>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</si>
  <si>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</si>
  <si>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</si>
  <si>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</si>
  <si>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</si>
  <si>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</si>
  <si>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</si>
  <si>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</si>
  <si>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</si>
  <si>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</si>
  <si>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</si>
  <si>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</si>
  <si>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</si>
  <si>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</si>
  <si>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</si>
  <si>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</si>
  <si>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</si>
  <si>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</si>
  <si>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</si>
  <si>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</si>
  <si>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</si>
  <si>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</si>
  <si>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</si>
  <si>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</si>
  <si>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</si>
  <si>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</si>
  <si>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</si>
  <si>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</si>
  <si>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</si>
  <si>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</si>
  <si>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</si>
  <si>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</si>
  <si>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</si>
  <si>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</si>
  <si>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</si>
  <si>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</si>
  <si>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</si>
  <si>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</si>
  <si>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</si>
  <si>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</si>
  <si>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</si>
  <si>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</si>
  <si>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</si>
  <si>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</si>
  <si>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</si>
  <si>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</si>
  <si>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</si>
  <si>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</si>
  <si>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</si>
  <si>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</si>
  <si>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</si>
  <si>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</si>
  <si>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</si>
  <si>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</si>
  <si>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</si>
  <si>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</si>
  <si>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</si>
  <si>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</si>
  <si>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</si>
  <si>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</si>
  <si>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</si>
  <si>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</si>
  <si>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</si>
  <si>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</si>
  <si>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</si>
  <si>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</si>
  <si>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</si>
  <si>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</si>
  <si>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</si>
  <si>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</si>
  <si>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</si>
  <si>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</si>
  <si>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</si>
  <si>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</si>
  <si>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</si>
  <si>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</si>
  <si>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</si>
  <si>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</si>
  <si>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</si>
  <si>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</si>
  <si>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</si>
  <si>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</si>
  <si>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</si>
  <si>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</si>
  <si>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</si>
  <si>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</si>
  <si>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</si>
  <si>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</si>
  <si>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</si>
  <si>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</si>
  <si>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</si>
  <si>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</si>
  <si>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</si>
  <si>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</si>
  <si>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</si>
  <si>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</si>
  <si>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</si>
  <si>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</si>
  <si>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</si>
  <si>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</si>
  <si>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</si>
  <si>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</si>
  <si>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</si>
  <si>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</si>
  <si>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</si>
  <si>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</si>
  <si>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</si>
  <si>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</si>
  <si>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</si>
  <si>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</si>
  <si>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</si>
  <si>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</si>
  <si>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</si>
  <si>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</si>
  <si>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</si>
  <si>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</si>
  <si>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</si>
  <si>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</si>
  <si>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</si>
  <si>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</si>
  <si>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</si>
  <si>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</si>
  <si>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</si>
  <si>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</si>
  <si>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</si>
  <si>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</si>
  <si>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</si>
  <si>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</si>
  <si>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</si>
  <si>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</si>
  <si>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</si>
  <si>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</si>
  <si>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</si>
  <si>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</si>
  <si>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</si>
  <si>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</si>
  <si>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</si>
  <si>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</si>
  <si>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</si>
  <si>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</si>
  <si>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</si>
  <si>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</si>
  <si>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</si>
  <si>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</si>
  <si>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</si>
  <si>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</si>
  <si>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</si>
  <si>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</si>
  <si>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</si>
  <si>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</si>
  <si>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</si>
  <si>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</si>
  <si>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</si>
  <si>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</si>
  <si>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</si>
  <si>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</si>
  <si>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</si>
  <si>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</si>
  <si>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</si>
  <si>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</si>
  <si>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</si>
  <si>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</si>
  <si>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</si>
  <si>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</si>
  <si>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</si>
  <si>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</si>
  <si>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</si>
  <si>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</si>
  <si>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</si>
  <si>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</si>
  <si>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</si>
  <si>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</si>
  <si>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</si>
  <si>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</si>
  <si>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</si>
  <si>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</si>
  <si>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</si>
  <si>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</si>
  <si>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</si>
  <si>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</si>
  <si>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</si>
  <si>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</si>
  <si>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</si>
  <si>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</si>
  <si>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</si>
  <si>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</si>
  <si>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</si>
  <si>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</si>
  <si>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</si>
  <si>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</si>
  <si>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</si>
  <si>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</si>
  <si>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</si>
  <si>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</si>
  <si>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</si>
  <si>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</si>
  <si>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</si>
  <si>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</si>
  <si>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</si>
  <si>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</si>
  <si>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</si>
  <si>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</si>
  <si>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</si>
  <si>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</si>
  <si>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</si>
  <si>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</si>
  <si>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</si>
  <si>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</si>
  <si>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</si>
  <si>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</si>
  <si>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</si>
  <si>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</si>
  <si>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</si>
  <si>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</si>
  <si>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</si>
  <si>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</si>
  <si>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</si>
  <si>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</si>
  <si>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</si>
  <si>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</si>
  <si>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</si>
  <si>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</si>
  <si>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</si>
  <si>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</si>
  <si>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</si>
  <si>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</si>
  <si>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</si>
  <si>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</si>
  <si>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</si>
  <si>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</si>
  <si>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</si>
  <si>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</si>
  <si>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</si>
  <si>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</si>
  <si>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</si>
  <si>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</si>
  <si>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</si>
  <si>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</si>
  <si>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</si>
  <si>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</si>
  <si>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</si>
  <si>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</si>
  <si>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</si>
  <si>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</si>
  <si>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</si>
  <si>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</si>
  <si>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</si>
  <si>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</si>
  <si>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</si>
  <si>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</si>
  <si>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</si>
  <si>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</si>
  <si>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</si>
  <si>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</si>
  <si>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</si>
  <si>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</si>
  <si>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</si>
  <si>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</si>
  <si>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</si>
  <si>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</si>
  <si>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</si>
  <si>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</si>
  <si>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</si>
  <si>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</si>
  <si>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</si>
  <si>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</si>
  <si>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</si>
  <si>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</si>
  <si>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</si>
  <si>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</si>
  <si>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</si>
  <si>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</si>
  <si>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</si>
  <si>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</si>
  <si>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</si>
  <si>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</si>
  <si>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</si>
  <si>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</si>
  <si>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</si>
  <si>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</si>
  <si>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</si>
  <si>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</si>
  <si>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</si>
  <si>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</si>
  <si>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</si>
  <si>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</si>
  <si>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</si>
  <si>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</si>
  <si>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</si>
  <si>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</si>
  <si>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</si>
  <si>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</si>
  <si>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</si>
  <si>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</si>
  <si>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</si>
  <si>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</si>
  <si>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</si>
  <si>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</si>
  <si>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</si>
  <si>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</si>
  <si>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</si>
  <si>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</si>
  <si>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</si>
  <si>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</si>
  <si>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</si>
  <si>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</si>
  <si>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</si>
  <si>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</si>
  <si>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</si>
  <si>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</si>
  <si>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</si>
  <si>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</si>
  <si>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</si>
  <si>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</si>
  <si>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</si>
  <si>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</si>
  <si>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</si>
  <si>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</si>
  <si>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</si>
  <si>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</si>
  <si>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</si>
  <si>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</si>
  <si>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</si>
  <si>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</si>
  <si>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</si>
  <si>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</si>
  <si>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</si>
  <si>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</si>
  <si>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</si>
  <si>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</si>
  <si>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</si>
  <si>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</si>
  <si>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</si>
  <si>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</si>
  <si>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</si>
  <si>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</si>
  <si>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</si>
  <si>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</si>
  <si>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</si>
  <si>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</si>
  <si>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</si>
  <si>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</si>
  <si>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</si>
  <si>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</si>
  <si>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</si>
  <si>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</si>
  <si>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</si>
  <si>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</si>
  <si>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</si>
  <si>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</si>
  <si>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</si>
  <si>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</si>
  <si>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</si>
  <si>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</si>
  <si>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</si>
  <si>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</si>
  <si>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</si>
  <si>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</si>
  <si>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</si>
  <si>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</si>
  <si>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</si>
  <si>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</si>
  <si>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</si>
  <si>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</si>
  <si>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</si>
  <si>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</si>
  <si>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</si>
  <si>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</si>
  <si>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</si>
  <si>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</si>
  <si>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</si>
  <si>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</si>
  <si>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</si>
  <si>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</si>
  <si>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</si>
  <si>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</si>
  <si>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</si>
  <si>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</si>
  <si>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</si>
  <si>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</si>
  <si>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</si>
  <si>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</si>
  <si>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</si>
  <si>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</si>
  <si>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</si>
  <si>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</si>
  <si>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</si>
  <si>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</si>
  <si>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</si>
  <si>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</si>
  <si>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</si>
  <si>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</si>
  <si>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</si>
  <si>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</si>
  <si>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</si>
  <si>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</si>
  <si>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</si>
  <si>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</si>
  <si>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</si>
  <si>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</si>
  <si>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</si>
  <si>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</si>
  <si>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</si>
  <si>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</si>
  <si>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</si>
  <si>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</si>
  <si>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</si>
  <si>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</si>
  <si>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</si>
  <si>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</si>
  <si>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</si>
  <si>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</si>
  <si>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</si>
  <si>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</si>
  <si>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</si>
  <si>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</si>
  <si>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</si>
  <si>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</si>
  <si>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</si>
  <si>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</si>
  <si>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</si>
  <si>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</si>
  <si>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</si>
  <si>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</si>
  <si>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</si>
  <si>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</si>
  <si>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</si>
  <si>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</si>
  <si>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</si>
  <si>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</si>
  <si>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</si>
  <si>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</si>
  <si>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</si>
  <si>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</si>
  <si>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</si>
  <si>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</si>
  <si>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</si>
  <si>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</si>
  <si>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</si>
  <si>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</si>
  <si>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</si>
  <si>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</si>
  <si>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</si>
  <si>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</si>
  <si>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</si>
  <si>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</si>
  <si>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</si>
  <si>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</si>
  <si>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</si>
  <si>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</si>
  <si>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</si>
  <si>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</si>
  <si>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</si>
  <si>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</si>
  <si>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</si>
  <si>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</si>
  <si>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</si>
  <si>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</si>
  <si>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</si>
  <si>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</si>
  <si>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</si>
  <si>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</si>
  <si>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</si>
  <si>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</si>
  <si>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</si>
  <si>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</si>
  <si>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</si>
  <si>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</si>
  <si>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</si>
  <si>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</si>
  <si>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</si>
  <si>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</si>
  <si>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</si>
  <si>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</si>
  <si>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</si>
  <si>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</si>
  <si>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</si>
  <si>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</si>
  <si>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</si>
  <si>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</si>
  <si>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</si>
  <si>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</si>
  <si>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</si>
  <si>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</si>
  <si>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</si>
  <si>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</si>
  <si>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</si>
  <si>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</si>
  <si>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</si>
  <si>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</si>
  <si>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</si>
  <si>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</si>
  <si>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</si>
  <si>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</si>
  <si>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</si>
  <si>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</si>
  <si>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</si>
  <si>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</si>
  <si>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</si>
  <si>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</si>
  <si>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</si>
  <si>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</si>
  <si>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</si>
  <si>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</si>
  <si>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</si>
  <si>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</si>
  <si>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</si>
  <si>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</si>
  <si>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</si>
  <si>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</si>
  <si>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</si>
  <si>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</si>
  <si>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</si>
  <si>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</si>
  <si>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</si>
  <si>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</si>
  <si>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</si>
  <si>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</si>
  <si>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</si>
  <si>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</si>
  <si>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</si>
  <si>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</si>
  <si>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</si>
  <si>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</si>
  <si>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</si>
  <si>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</si>
  <si>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</si>
  <si>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</si>
  <si>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</si>
  <si>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</si>
  <si>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</si>
  <si>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</si>
  <si>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</si>
  <si>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</si>
  <si>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</si>
  <si>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</si>
  <si>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</si>
  <si>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</si>
  <si>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</si>
  <si>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</si>
  <si>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</si>
  <si>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</si>
  <si>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</si>
  <si>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</si>
  <si>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</si>
  <si>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</si>
  <si>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</si>
  <si>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</si>
  <si>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</si>
  <si>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</si>
  <si>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</si>
  <si>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</si>
  <si>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</si>
  <si>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</si>
  <si>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</si>
  <si>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</si>
  <si>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</si>
  <si>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</si>
  <si>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</si>
  <si>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</si>
  <si>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</si>
  <si>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</si>
  <si>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</si>
  <si>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</si>
  <si>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</si>
  <si>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</si>
  <si>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</si>
  <si>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</si>
  <si>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</si>
  <si>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</si>
  <si>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</si>
  <si>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</si>
  <si>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</si>
  <si>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</si>
  <si>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</si>
  <si>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</si>
  <si>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</si>
  <si>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</si>
  <si>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</si>
  <si>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</si>
  <si>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</si>
  <si>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</si>
  <si>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</si>
  <si>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</si>
  <si>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</si>
  <si>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</si>
  <si>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</si>
  <si>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</si>
  <si>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</si>
  <si>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</si>
  <si>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</si>
  <si>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</si>
  <si>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</si>
  <si>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</si>
  <si>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</si>
  <si>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</si>
  <si>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</si>
  <si>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</si>
  <si>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</si>
  <si>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</si>
  <si>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</si>
  <si>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</si>
  <si>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</si>
  <si>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</si>
  <si>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</si>
  <si>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</si>
  <si>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</si>
  <si>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</si>
  <si>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</si>
  <si>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</si>
  <si>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</si>
  <si>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</si>
  <si>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</si>
  <si>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</si>
  <si>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</si>
  <si>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</si>
  <si>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</si>
  <si>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</si>
  <si>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</si>
  <si>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</si>
  <si>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</si>
  <si>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</si>
  <si>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</si>
  <si>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</si>
  <si>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</si>
  <si>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</si>
  <si>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</si>
  <si>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</si>
  <si>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</si>
  <si>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</si>
  <si>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</si>
  <si>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</si>
  <si>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</si>
  <si>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</si>
  <si>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</si>
  <si>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</si>
  <si>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</si>
  <si>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</si>
  <si>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</si>
  <si>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</si>
  <si>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</si>
  <si>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</si>
  <si>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</si>
  <si>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</si>
  <si>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</si>
  <si>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</si>
  <si>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</si>
  <si>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</si>
  <si>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</si>
  <si>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</si>
  <si>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</si>
  <si>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</si>
  <si>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</si>
  <si>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</si>
  <si>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</si>
  <si>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</si>
  <si>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</si>
  <si>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</si>
  <si>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</si>
  <si>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</si>
  <si>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</si>
  <si>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</si>
  <si>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</si>
  <si>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</si>
  <si>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</si>
  <si>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</si>
  <si>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</si>
  <si>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</si>
  <si>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</si>
  <si>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</si>
  <si>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</si>
  <si>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</si>
  <si>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</si>
  <si>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</si>
  <si>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</si>
  <si>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</si>
  <si>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</si>
  <si>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</si>
  <si>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</si>
  <si>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</si>
  <si>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</si>
  <si>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</si>
  <si>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</si>
  <si>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</si>
  <si>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</si>
  <si>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</si>
  <si>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</si>
  <si>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</si>
  <si>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</si>
  <si>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</si>
  <si>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</si>
  <si>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</si>
  <si>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</si>
  <si>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</si>
  <si>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</si>
  <si>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</si>
  <si>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</si>
  <si>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</si>
  <si>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</si>
  <si>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</si>
  <si>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</si>
  <si>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</si>
  <si>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</si>
  <si>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</si>
  <si>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</si>
  <si>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</si>
  <si>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</si>
  <si>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</si>
  <si>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</si>
  <si>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</si>
  <si>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</si>
  <si>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</si>
  <si>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</si>
  <si>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</si>
  <si>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</si>
  <si>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</si>
  <si>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</si>
  <si>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</si>
  <si>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</si>
  <si>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</si>
  <si>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</si>
  <si>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</si>
  <si>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</si>
  <si>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</si>
  <si>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</si>
  <si>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</si>
  <si>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</si>
  <si>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</si>
  <si>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</si>
  <si>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</si>
  <si>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</si>
  <si>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</si>
  <si>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</si>
  <si>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</si>
  <si>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</si>
  <si>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</si>
  <si>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</si>
  <si>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</si>
  <si>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</si>
  <si>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</si>
  <si>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</si>
  <si>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</si>
  <si>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</si>
  <si>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</si>
  <si>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</si>
  <si>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</si>
  <si>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</si>
  <si>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</si>
  <si>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</si>
  <si>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</si>
  <si>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</si>
  <si>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</si>
  <si>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</si>
  <si>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</si>
  <si>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</si>
  <si>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</si>
  <si>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</si>
  <si>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</si>
  <si>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</si>
  <si>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</si>
  <si>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</si>
  <si>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</si>
  <si>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</si>
  <si>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</si>
  <si>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</si>
  <si>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</si>
  <si>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</si>
  <si>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</si>
  <si>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</si>
  <si>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</si>
  <si>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</si>
  <si>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</si>
  <si>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</si>
  <si>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</si>
  <si>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</si>
  <si>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</si>
  <si>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</si>
  <si>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</si>
  <si>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</si>
  <si>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</si>
  <si>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</si>
  <si>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</si>
  <si>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</si>
  <si>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</si>
  <si>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</si>
  <si>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</si>
  <si>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</si>
  <si>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</si>
  <si>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</si>
  <si>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</si>
  <si>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</si>
  <si>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</si>
  <si>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</si>
  <si>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</si>
  <si>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</si>
  <si>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</si>
  <si>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</si>
  <si>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</si>
  <si>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</si>
  <si>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</si>
  <si>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</si>
  <si>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</si>
  <si>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</si>
  <si>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</si>
  <si>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</si>
  <si>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</si>
  <si>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</si>
  <si>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</si>
  <si>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</si>
  <si>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</si>
  <si>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</si>
  <si>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</si>
  <si>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</si>
  <si>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</si>
  <si>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</si>
  <si>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</si>
  <si>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</si>
  <si>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</si>
  <si>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</si>
  <si>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</si>
  <si>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</si>
  <si>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</si>
  <si>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</si>
  <si>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</si>
  <si>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</si>
  <si>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</si>
  <si>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</si>
  <si>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</si>
  <si>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</si>
  <si>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</si>
  <si>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</si>
  <si>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</si>
  <si>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</si>
  <si>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</si>
  <si>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</si>
  <si>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</si>
  <si>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</si>
  <si>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</si>
  <si>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</si>
  <si>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</si>
  <si>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</si>
  <si>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</si>
  <si>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</si>
  <si>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</si>
  <si>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</si>
  <si>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</si>
  <si>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</si>
  <si>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</si>
  <si>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</si>
  <si>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</si>
  <si>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</si>
  <si>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</si>
  <si>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</si>
  <si>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</si>
  <si>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</si>
  <si>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</si>
  <si>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</si>
  <si>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</si>
  <si>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</si>
  <si>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</si>
  <si>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</si>
  <si>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</si>
  <si>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</si>
  <si>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</si>
  <si>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</si>
  <si>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</si>
  <si>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</si>
  <si>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</si>
  <si>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</si>
  <si>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</si>
  <si>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</si>
  <si>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</si>
  <si>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</si>
  <si>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</si>
  <si>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</si>
  <si>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</si>
  <si>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</si>
  <si>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</si>
  <si>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</si>
  <si>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</si>
  <si>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</si>
  <si>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</si>
  <si>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</si>
  <si>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</si>
  <si>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</si>
  <si>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</si>
  <si>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</si>
  <si>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</si>
  <si>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</si>
  <si>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</si>
  <si>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</si>
  <si>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</si>
  <si>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</si>
  <si>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</si>
  <si>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</si>
  <si>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</si>
  <si>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</si>
  <si>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</si>
  <si>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</si>
  <si>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</si>
  <si>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</si>
  <si>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</si>
  <si>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</si>
  <si>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</si>
  <si>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</si>
  <si>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</si>
  <si>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</si>
  <si>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</si>
  <si>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</si>
  <si>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</si>
  <si>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</si>
  <si>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</si>
  <si>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</si>
  <si>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</si>
  <si>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</si>
  <si>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</si>
  <si>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</si>
  <si>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</si>
  <si>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</si>
  <si>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</si>
  <si>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</si>
  <si>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</si>
  <si>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</si>
  <si>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</si>
  <si>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</si>
  <si>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</si>
  <si>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</si>
  <si>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</si>
  <si>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</si>
  <si>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</si>
  <si>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</si>
  <si>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</si>
  <si>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</si>
  <si>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</si>
  <si>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</si>
  <si>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</si>
  <si>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</si>
  <si>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</si>
  <si>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</si>
  <si>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</si>
  <si>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</si>
  <si>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</si>
  <si>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</si>
  <si>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</si>
  <si>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</si>
  <si>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</si>
  <si>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</si>
  <si>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</si>
  <si>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</si>
  <si>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</si>
  <si>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</si>
  <si>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</si>
  <si>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</si>
  <si>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</si>
  <si>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</si>
  <si>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</si>
  <si>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</si>
  <si>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</si>
  <si>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</si>
  <si>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</si>
  <si>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</si>
  <si>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</si>
  <si>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</si>
  <si>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</si>
  <si>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</si>
  <si>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</si>
  <si>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</si>
  <si>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</si>
  <si>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</si>
  <si>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</si>
  <si>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</si>
  <si>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</si>
  <si>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</si>
  <si>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</si>
  <si>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</si>
  <si>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</si>
  <si>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</si>
  <si>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</si>
  <si>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</si>
  <si>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</si>
  <si>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</si>
  <si>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</si>
  <si>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</si>
  <si>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</si>
  <si>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</si>
  <si>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</si>
  <si>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</si>
  <si>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</si>
  <si>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</si>
  <si>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</si>
  <si>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</si>
  <si>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</si>
  <si>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</si>
  <si>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</si>
  <si>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</si>
  <si>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</si>
  <si>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</si>
  <si>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</si>
  <si>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</si>
  <si>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</si>
  <si>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</si>
  <si>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</si>
  <si>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</si>
  <si>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</si>
  <si>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</si>
  <si>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</si>
  <si>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</si>
  <si>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</si>
  <si>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</si>
  <si>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SL .No</t>
  </si>
  <si>
    <t>Count of SL .No</t>
  </si>
  <si>
    <t>Average of Rating</t>
  </si>
  <si>
    <t>Total Sales</t>
  </si>
  <si>
    <t>Avg Sales</t>
  </si>
  <si>
    <t>Avg Rating</t>
  </si>
  <si>
    <t>Count sl.no</t>
  </si>
  <si>
    <t>KPI Requiredment</t>
  </si>
  <si>
    <t>Row Labels</t>
  </si>
  <si>
    <t>Grand Total</t>
  </si>
  <si>
    <t>Total sales by fat content</t>
  </si>
  <si>
    <t>Total Sales by Outlet Establishment</t>
  </si>
  <si>
    <t>Outlet by size</t>
  </si>
  <si>
    <t>Outlet by location</t>
  </si>
  <si>
    <t>Column Labels</t>
  </si>
  <si>
    <t>FAT BY OUTLET</t>
  </si>
  <si>
    <t>TOTAL SALES BY ITEM TYPE</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</si>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</sst>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quot;M&quot;"/>
    <numFmt numFmtId="165" formatCode="0.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Segoe UI Black"/>
      <family val="2"/>
    </font>
    <font>
      <sz val="12"/>
      <color theme="1"/>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0" xfId="0" applyBorder="1"/>
    <xf numFmtId="0" fontId="0" fillId="0" borderId="14" xfId="0" applyBorder="1" applyAlignment="1">
      <alignment horizontal="left"/>
    </xf>
    <xf numFmtId="0" fontId="0" fillId="0" borderId="16" xfId="0" applyBorder="1" applyAlignment="1">
      <alignment horizontal="left"/>
    </xf>
    <xf numFmtId="0" fontId="0" fillId="0" borderId="22" xfId="0" applyBorder="1" applyAlignment="1">
      <alignment horizontal="left"/>
    </xf>
    <xf numFmtId="0" fontId="0" fillId="0" borderId="21" xfId="0" applyBorder="1" applyAlignment="1">
      <alignment horizontal="left"/>
    </xf>
    <xf numFmtId="0" fontId="0" fillId="0" borderId="10" xfId="0" pivotButton="1" applyBorder="1"/>
    <xf numFmtId="0" fontId="0" fillId="0" borderId="20" xfId="0" applyBorder="1" applyAlignment="1">
      <alignment horizontal="left"/>
    </xf>
    <xf numFmtId="0" fontId="0" fillId="0" borderId="10" xfId="0" applyBorder="1" applyAlignment="1">
      <alignment horizontal="left"/>
    </xf>
    <xf numFmtId="0" fontId="0" fillId="0" borderId="23" xfId="0" applyBorder="1"/>
    <xf numFmtId="0" fontId="0" fillId="0" borderId="24" xfId="0" applyBorder="1"/>
    <xf numFmtId="0" fontId="0" fillId="0" borderId="19" xfId="0" applyBorder="1"/>
    <xf numFmtId="164" fontId="0" fillId="0" borderId="14" xfId="0" applyNumberFormat="1" applyBorder="1"/>
    <xf numFmtId="165" fontId="0" fillId="0" borderId="0" xfId="0" applyNumberFormat="1"/>
    <xf numFmtId="2" fontId="0" fillId="0" borderId="0" xfId="0" applyNumberFormat="1"/>
    <xf numFmtId="164" fontId="0" fillId="0" borderId="10" xfId="0" applyNumberFormat="1" applyBorder="1"/>
    <xf numFmtId="164" fontId="0" fillId="0" borderId="20" xfId="0" applyNumberFormat="1" applyBorder="1"/>
    <xf numFmtId="164" fontId="0" fillId="0" borderId="22" xfId="0" applyNumberFormat="1" applyBorder="1"/>
    <xf numFmtId="164" fontId="0" fillId="0" borderId="21" xfId="0" applyNumberFormat="1" applyBorder="1"/>
    <xf numFmtId="164" fontId="0" fillId="0" borderId="11" xfId="0" applyNumberFormat="1" applyBorder="1"/>
    <xf numFmtId="164" fontId="0" fillId="0" borderId="13" xfId="0" applyNumberFormat="1" applyBorder="1"/>
    <xf numFmtId="164" fontId="0" fillId="0" borderId="15" xfId="0" applyNumberFormat="1" applyBorder="1"/>
    <xf numFmtId="164" fontId="0" fillId="0" borderId="16" xfId="0" applyNumberFormat="1" applyBorder="1"/>
    <xf numFmtId="164" fontId="0" fillId="0" borderId="18" xfId="0" applyNumberFormat="1" applyBorder="1"/>
    <xf numFmtId="165" fontId="0" fillId="0" borderId="20" xfId="0" applyNumberFormat="1" applyBorder="1"/>
    <xf numFmtId="165" fontId="0" fillId="0" borderId="22" xfId="0" applyNumberFormat="1" applyBorder="1"/>
    <xf numFmtId="165" fontId="0" fillId="0" borderId="21" xfId="0" applyNumberFormat="1" applyBorder="1"/>
    <xf numFmtId="0" fontId="0" fillId="0" borderId="20" xfId="0" applyBorder="1"/>
    <xf numFmtId="0" fontId="0" fillId="0" borderId="22" xfId="0" applyBorder="1"/>
    <xf numFmtId="0" fontId="0" fillId="0" borderId="21" xfId="0" applyBorder="1"/>
    <xf numFmtId="0" fontId="0" fillId="33" borderId="0" xfId="0" applyFill="1" applyAlignment="1">
      <alignment horizontal="center"/>
    </xf>
    <xf numFmtId="0" fontId="16" fillId="33" borderId="17" xfId="0" applyFont="1" applyFill="1" applyBorder="1" applyAlignment="1">
      <alignment horizontal="center"/>
    </xf>
    <xf numFmtId="0" fontId="18" fillId="33" borderId="0" xfId="0" applyFont="1" applyFill="1" applyAlignment="1">
      <alignment horizontal="center"/>
    </xf>
    <xf numFmtId="0" fontId="18" fillId="33" borderId="15"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8">
    <dxf>
      <numFmt numFmtId="164" formatCode="&quot;$&quot;0.00,,&quot;M&quot;"/>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FD200"/>
      <color rgb="FFFFF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(Recovered).xlsx]Sheet2!PivotTable2</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Sheet2!$C$11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3F-4CBE-9989-C97AF11072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3F-4CBE-9989-C97AF11072F0}"/>
              </c:ext>
            </c:extLst>
          </c:dPt>
          <c:cat>
            <c:strRef>
              <c:f>Sheet2!$B$12:$B$14</c:f>
              <c:strCache>
                <c:ptCount val="2"/>
                <c:pt idx="0">
                  <c:v>Low Fat</c:v>
                </c:pt>
                <c:pt idx="1">
                  <c:v>Regular</c:v>
                </c:pt>
              </c:strCache>
            </c:strRef>
          </c:cat>
          <c:val>
            <c:numRef>
              <c:f>Sheet2!$C$12:$C$14</c:f>
              <c:numCache>
                <c:formatCode>"$"0.00,,"M"</c:formatCode>
                <c:ptCount val="2"/>
                <c:pt idx="0">
                  <c:v>776319.68840000057</c:v>
                </c:pt>
                <c:pt idx="1">
                  <c:v>425361.8043999995</c:v>
                </c:pt>
              </c:numCache>
            </c:numRef>
          </c:val>
          <c:extLst>
            <c:ext xmlns:c16="http://schemas.microsoft.com/office/drawing/2014/chart" uri="{C3380CC4-5D6E-409C-BE32-E72D297353CC}">
              <c16:uniqueId val="{00000000-FED1-415D-BCBF-E864C7DAFE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6752914742388797"/>
          <c:y val="0.16507753444826645"/>
          <c:w val="0.45101924224676931"/>
          <c:h val="0.83492246555173355"/>
        </c:manualLayout>
      </c:layout>
      <c:doughnutChart>
        <c:varyColors val="1"/>
        <c:ser>
          <c:idx val="0"/>
          <c:order val="0"/>
          <c:tx>
            <c:strRef>
              <c:f>Sheet2!$D$59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0D-4DD0-B728-3E214CABE1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0D-4DD0-B728-3E214CABE1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0D-4DD0-B728-3E214CABE1CE}"/>
              </c:ext>
            </c:extLst>
          </c:dPt>
          <c:cat>
            <c:strRef>
              <c:f>Sheet2!$C$60:$C$63</c:f>
              <c:strCache>
                <c:ptCount val="3"/>
                <c:pt idx="0">
                  <c:v>High</c:v>
                </c:pt>
                <c:pt idx="1">
                  <c:v>Medium</c:v>
                </c:pt>
                <c:pt idx="2">
                  <c:v>Small</c:v>
                </c:pt>
              </c:strCache>
            </c:strRef>
          </c:cat>
          <c:val>
            <c:numRef>
              <c:f>Sheet2!$D$60:$D$63</c:f>
              <c:numCache>
                <c:formatCode>"$"0.00,,"M"</c:formatCode>
                <c:ptCount val="3"/>
                <c:pt idx="0">
                  <c:v>248991.58600000024</c:v>
                </c:pt>
                <c:pt idx="1">
                  <c:v>507895.7363999993</c:v>
                </c:pt>
                <c:pt idx="2">
                  <c:v>444794.17039999936</c:v>
                </c:pt>
              </c:numCache>
            </c:numRef>
          </c:val>
          <c:extLst>
            <c:ext xmlns:c16="http://schemas.microsoft.com/office/drawing/2014/chart" uri="{C3380CC4-5D6E-409C-BE32-E72D297353CC}">
              <c16:uniqueId val="{00000000-4A05-4CC9-99A6-72306E7E1F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Sheet2!$D$70</c:f>
              <c:strCache>
                <c:ptCount val="1"/>
                <c:pt idx="0">
                  <c:v>Total</c:v>
                </c:pt>
              </c:strCache>
            </c:strRef>
          </c:tx>
          <c:spPr>
            <a:solidFill>
              <a:schemeClr val="accent1"/>
            </a:solidFill>
            <a:ln>
              <a:noFill/>
            </a:ln>
            <a:effectLst/>
          </c:spPr>
          <c:invertIfNegative val="0"/>
          <c:cat>
            <c:strRef>
              <c:f>Sheet2!$C$71:$C$74</c:f>
              <c:strCache>
                <c:ptCount val="3"/>
                <c:pt idx="0">
                  <c:v>Tier 1</c:v>
                </c:pt>
                <c:pt idx="1">
                  <c:v>Tier 2</c:v>
                </c:pt>
                <c:pt idx="2">
                  <c:v>Tier 3</c:v>
                </c:pt>
              </c:strCache>
            </c:strRef>
          </c:cat>
          <c:val>
            <c:numRef>
              <c:f>Sheet2!$D$71:$D$74</c:f>
              <c:numCache>
                <c:formatCode>"$"0.00,,"M"</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9DF1-40BB-8AD5-C0BBFA2583CB}"/>
            </c:ext>
          </c:extLst>
        </c:ser>
        <c:dLbls>
          <c:showLegendKey val="0"/>
          <c:showVal val="0"/>
          <c:showCatName val="0"/>
          <c:showSerName val="0"/>
          <c:showPercent val="0"/>
          <c:showBubbleSize val="0"/>
        </c:dLbls>
        <c:gapWidth val="182"/>
        <c:axId val="513886719"/>
        <c:axId val="513898239"/>
      </c:barChart>
      <c:catAx>
        <c:axId val="51388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898239"/>
        <c:crosses val="autoZero"/>
        <c:auto val="1"/>
        <c:lblAlgn val="ctr"/>
        <c:lblOffset val="100"/>
        <c:noMultiLvlLbl val="0"/>
      </c:catAx>
      <c:valAx>
        <c:axId val="513898239"/>
        <c:scaling>
          <c:orientation val="minMax"/>
        </c:scaling>
        <c:delete val="0"/>
        <c:axPos val="b"/>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88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54790603080062"/>
          <c:y val="6.9755544892301125E-2"/>
          <c:w val="0.6554907362954927"/>
          <c:h val="0.91184341010876524"/>
        </c:manualLayout>
      </c:layout>
      <c:barChart>
        <c:barDir val="bar"/>
        <c:grouping val="clustered"/>
        <c:varyColors val="0"/>
        <c:ser>
          <c:idx val="0"/>
          <c:order val="0"/>
          <c:tx>
            <c:strRef>
              <c:f>Sheet2!$P$25</c:f>
              <c:strCache>
                <c:ptCount val="1"/>
                <c:pt idx="0">
                  <c:v>Total</c:v>
                </c:pt>
              </c:strCache>
            </c:strRef>
          </c:tx>
          <c:spPr>
            <a:solidFill>
              <a:schemeClr val="accent1"/>
            </a:solidFill>
            <a:ln>
              <a:noFill/>
            </a:ln>
            <a:effectLst/>
          </c:spPr>
          <c:invertIfNegative val="0"/>
          <c:cat>
            <c:strRef>
              <c:f>Sheet2!$O$26:$O$42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Sheet2!$P$26:$P$42</c:f>
              <c:numCache>
                <c:formatCode>"$"0.00,,"M"</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EB2-43D1-A4D9-2A620132533B}"/>
            </c:ext>
          </c:extLst>
        </c:ser>
        <c:dLbls>
          <c:showLegendKey val="0"/>
          <c:showVal val="0"/>
          <c:showCatName val="0"/>
          <c:showSerName val="0"/>
          <c:showPercent val="0"/>
          <c:showBubbleSize val="0"/>
        </c:dLbls>
        <c:gapWidth val="50"/>
        <c:axId val="1138859984"/>
        <c:axId val="1138864784"/>
      </c:barChart>
      <c:catAx>
        <c:axId val="113885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64784"/>
        <c:crosses val="autoZero"/>
        <c:auto val="1"/>
        <c:lblAlgn val="ctr"/>
        <c:lblOffset val="100"/>
        <c:noMultiLvlLbl val="0"/>
      </c:catAx>
      <c:valAx>
        <c:axId val="1138864784"/>
        <c:scaling>
          <c:orientation val="minMax"/>
        </c:scaling>
        <c:delete val="1"/>
        <c:axPos val="b"/>
        <c:numFmt formatCode="&quot;$&quot;0.00,,&quot;M&quot;" sourceLinked="1"/>
        <c:majorTickMark val="none"/>
        <c:minorTickMark val="none"/>
        <c:tickLblPos val="nextTo"/>
        <c:crossAx val="1138859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Sheet2!$D$24:$D$25</c:f>
              <c:strCache>
                <c:ptCount val="1"/>
                <c:pt idx="0">
                  <c:v>Low Fat</c:v>
                </c:pt>
              </c:strCache>
            </c:strRef>
          </c:tx>
          <c:spPr>
            <a:solidFill>
              <a:schemeClr val="accent1"/>
            </a:solidFill>
            <a:ln>
              <a:noFill/>
            </a:ln>
            <a:effectLst/>
          </c:spPr>
          <c:invertIfNegative val="0"/>
          <c:cat>
            <c:strRef>
              <c:f>Sheet2!$C$26:$C$28</c:f>
              <c:strCache>
                <c:ptCount val="3"/>
                <c:pt idx="0">
                  <c:v>Tier 1</c:v>
                </c:pt>
                <c:pt idx="1">
                  <c:v>Tier 2</c:v>
                </c:pt>
                <c:pt idx="2">
                  <c:v>Tier 3</c:v>
                </c:pt>
              </c:strCache>
            </c:strRef>
          </c:cat>
          <c:val>
            <c:numRef>
              <c:f>Sheet2!$D$26:$D$28</c:f>
              <c:numCache>
                <c:formatCode>"$"0.00,,"M"</c:formatCode>
                <c:ptCount val="3"/>
                <c:pt idx="0">
                  <c:v>215047.9126000001</c:v>
                </c:pt>
                <c:pt idx="1">
                  <c:v>254464.77940000014</c:v>
                </c:pt>
                <c:pt idx="2">
                  <c:v>306806.99640000012</c:v>
                </c:pt>
              </c:numCache>
            </c:numRef>
          </c:val>
          <c:extLst>
            <c:ext xmlns:c16="http://schemas.microsoft.com/office/drawing/2014/chart" uri="{C3380CC4-5D6E-409C-BE32-E72D297353CC}">
              <c16:uniqueId val="{00000000-8C97-47F5-A25A-8FD790CA9F81}"/>
            </c:ext>
          </c:extLst>
        </c:ser>
        <c:ser>
          <c:idx val="1"/>
          <c:order val="1"/>
          <c:tx>
            <c:strRef>
              <c:f>Sheet2!$E$24:$E$25</c:f>
              <c:strCache>
                <c:ptCount val="1"/>
                <c:pt idx="0">
                  <c:v>Regular</c:v>
                </c:pt>
              </c:strCache>
            </c:strRef>
          </c:tx>
          <c:spPr>
            <a:solidFill>
              <a:schemeClr val="accent2"/>
            </a:solidFill>
            <a:ln>
              <a:noFill/>
            </a:ln>
            <a:effectLst/>
          </c:spPr>
          <c:invertIfNegative val="0"/>
          <c:cat>
            <c:strRef>
              <c:f>Sheet2!$C$26:$C$28</c:f>
              <c:strCache>
                <c:ptCount val="3"/>
                <c:pt idx="0">
                  <c:v>Tier 1</c:v>
                </c:pt>
                <c:pt idx="1">
                  <c:v>Tier 2</c:v>
                </c:pt>
                <c:pt idx="2">
                  <c:v>Tier 3</c:v>
                </c:pt>
              </c:strCache>
            </c:strRef>
          </c:cat>
          <c:val>
            <c:numRef>
              <c:f>Sheet2!$E$26:$E$28</c:f>
              <c:numCache>
                <c:formatCode>"$"0.00,,"M"</c:formatCode>
                <c:ptCount val="3"/>
                <c:pt idx="0">
                  <c:v>121349.89940000001</c:v>
                </c:pt>
                <c:pt idx="1">
                  <c:v>138685.86819999994</c:v>
                </c:pt>
                <c:pt idx="2">
                  <c:v>165326.0368</c:v>
                </c:pt>
              </c:numCache>
            </c:numRef>
          </c:val>
          <c:extLst>
            <c:ext xmlns:c16="http://schemas.microsoft.com/office/drawing/2014/chart" uri="{C3380CC4-5D6E-409C-BE32-E72D297353CC}">
              <c16:uniqueId val="{00000002-8C97-47F5-A25A-8FD790CA9F81}"/>
            </c:ext>
          </c:extLst>
        </c:ser>
        <c:dLbls>
          <c:showLegendKey val="0"/>
          <c:showVal val="0"/>
          <c:showCatName val="0"/>
          <c:showSerName val="0"/>
          <c:showPercent val="0"/>
          <c:showBubbleSize val="0"/>
        </c:dLbls>
        <c:gapWidth val="182"/>
        <c:axId val="1140963968"/>
        <c:axId val="1140954368"/>
      </c:barChart>
      <c:catAx>
        <c:axId val="114096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954368"/>
        <c:crosses val="autoZero"/>
        <c:auto val="1"/>
        <c:lblAlgn val="ctr"/>
        <c:lblOffset val="100"/>
        <c:noMultiLvlLbl val="0"/>
      </c:catAx>
      <c:valAx>
        <c:axId val="1140954368"/>
        <c:scaling>
          <c:orientation val="minMax"/>
        </c:scaling>
        <c:delete val="1"/>
        <c:axPos val="b"/>
        <c:numFmt formatCode="&quot;$&quot;0.00,,&quot;M&quot;" sourceLinked="1"/>
        <c:majorTickMark val="none"/>
        <c:minorTickMark val="none"/>
        <c:tickLblPos val="nextTo"/>
        <c:crossAx val="114096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5868545058976"/>
          <c:y val="4.3611925973048173E-2"/>
          <c:w val="0.80692982370559718"/>
          <c:h val="0.81356845999249672"/>
        </c:manualLayout>
      </c:layout>
      <c:areaChart>
        <c:grouping val="standard"/>
        <c:varyColors val="0"/>
        <c:ser>
          <c:idx val="0"/>
          <c:order val="0"/>
          <c:tx>
            <c:strRef>
              <c:f>Sheet2!$E$42</c:f>
              <c:strCache>
                <c:ptCount val="1"/>
                <c:pt idx="0">
                  <c:v>Total</c:v>
                </c:pt>
              </c:strCache>
            </c:strRef>
          </c:tx>
          <c:spPr>
            <a:solidFill>
              <a:schemeClr val="accent1"/>
            </a:solidFill>
            <a:ln>
              <a:noFill/>
            </a:ln>
            <a:effectLst/>
          </c:spPr>
          <c:cat>
            <c:strRef>
              <c:f>Sheet2!$D$43:$D$52</c:f>
              <c:strCache>
                <c:ptCount val="9"/>
                <c:pt idx="0">
                  <c:v>2011</c:v>
                </c:pt>
                <c:pt idx="1">
                  <c:v>2012</c:v>
                </c:pt>
                <c:pt idx="2">
                  <c:v>2014</c:v>
                </c:pt>
                <c:pt idx="3">
                  <c:v>2015</c:v>
                </c:pt>
                <c:pt idx="4">
                  <c:v>2016</c:v>
                </c:pt>
                <c:pt idx="5">
                  <c:v>2017</c:v>
                </c:pt>
                <c:pt idx="6">
                  <c:v>2018</c:v>
                </c:pt>
                <c:pt idx="7">
                  <c:v>2020</c:v>
                </c:pt>
                <c:pt idx="8">
                  <c:v>2022</c:v>
                </c:pt>
              </c:strCache>
            </c:strRef>
          </c:cat>
          <c:val>
            <c:numRef>
              <c:f>Sheet2!$E$43:$E$52</c:f>
              <c:numCache>
                <c:formatCode>"$"0.00,,"M"</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59C-46E7-B8AB-7014194A87C2}"/>
            </c:ext>
          </c:extLst>
        </c:ser>
        <c:dLbls>
          <c:showLegendKey val="0"/>
          <c:showVal val="0"/>
          <c:showCatName val="0"/>
          <c:showSerName val="0"/>
          <c:showPercent val="0"/>
          <c:showBubbleSize val="0"/>
        </c:dLbls>
        <c:axId val="1367061744"/>
        <c:axId val="1367060304"/>
      </c:areaChart>
      <c:catAx>
        <c:axId val="1367061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60304"/>
        <c:crosses val="autoZero"/>
        <c:auto val="1"/>
        <c:lblAlgn val="ctr"/>
        <c:lblOffset val="100"/>
        <c:noMultiLvlLbl val="0"/>
      </c:catAx>
      <c:valAx>
        <c:axId val="1367060304"/>
        <c:scaling>
          <c:orientation val="minMax"/>
        </c:scaling>
        <c:delete val="0"/>
        <c:axPos val="l"/>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617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21912074331292"/>
          <c:y val="0"/>
          <c:w val="0.5897248075851933"/>
          <c:h val="0.86237253204000952"/>
        </c:manualLayout>
      </c:layout>
      <c:barChart>
        <c:barDir val="bar"/>
        <c:grouping val="clustered"/>
        <c:varyColors val="0"/>
        <c:ser>
          <c:idx val="0"/>
          <c:order val="0"/>
          <c:tx>
            <c:strRef>
              <c:f>Sheet2!$D$81</c:f>
              <c:strCache>
                <c:ptCount val="1"/>
                <c:pt idx="0">
                  <c:v>Total</c:v>
                </c:pt>
              </c:strCache>
            </c:strRef>
          </c:tx>
          <c:spPr>
            <a:solidFill>
              <a:schemeClr val="accent1"/>
            </a:solidFill>
            <a:ln>
              <a:noFill/>
            </a:ln>
            <a:effectLst/>
          </c:spPr>
          <c:invertIfNegative val="0"/>
          <c:cat>
            <c:strRef>
              <c:f>Sheet2!$C$82:$C$86</c:f>
              <c:strCache>
                <c:ptCount val="4"/>
                <c:pt idx="0">
                  <c:v>Grocery Store</c:v>
                </c:pt>
                <c:pt idx="1">
                  <c:v>Supermarket Type1</c:v>
                </c:pt>
                <c:pt idx="2">
                  <c:v>Supermarket Type2</c:v>
                </c:pt>
                <c:pt idx="3">
                  <c:v>Supermarket Type3</c:v>
                </c:pt>
              </c:strCache>
            </c:strRef>
          </c:cat>
          <c:val>
            <c:numRef>
              <c:f>Sheet2!$D$82:$D$86</c:f>
              <c:numCache>
                <c:formatCode>"$"0.00,,"M"</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ACDD-48CA-AC2B-5407A9B618A8}"/>
            </c:ext>
          </c:extLst>
        </c:ser>
        <c:dLbls>
          <c:showLegendKey val="0"/>
          <c:showVal val="0"/>
          <c:showCatName val="0"/>
          <c:showSerName val="0"/>
          <c:showPercent val="0"/>
          <c:showBubbleSize val="0"/>
        </c:dLbls>
        <c:gapWidth val="182"/>
        <c:axId val="987481184"/>
        <c:axId val="987477824"/>
      </c:barChart>
      <c:catAx>
        <c:axId val="98748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477824"/>
        <c:crosses val="autoZero"/>
        <c:auto val="1"/>
        <c:lblAlgn val="ctr"/>
        <c:lblOffset val="100"/>
        <c:noMultiLvlLbl val="0"/>
      </c:catAx>
      <c:valAx>
        <c:axId val="987477824"/>
        <c:scaling>
          <c:orientation val="minMax"/>
        </c:scaling>
        <c:delete val="1"/>
        <c:axPos val="b"/>
        <c:numFmt formatCode="&quot;$&quot;0.00,,&quot;M&quot;" sourceLinked="1"/>
        <c:majorTickMark val="none"/>
        <c:minorTickMark val="none"/>
        <c:tickLblPos val="nextTo"/>
        <c:crossAx val="98748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(Recovered).xlsx]Sheet2!PivotTable9</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9202386383669"/>
          <c:y val="0.12669452542203796"/>
          <c:w val="0.59099903406393661"/>
          <c:h val="0.84515113559528687"/>
        </c:manualLayout>
      </c:layout>
      <c:barChart>
        <c:barDir val="bar"/>
        <c:grouping val="clustered"/>
        <c:varyColors val="0"/>
        <c:ser>
          <c:idx val="0"/>
          <c:order val="0"/>
          <c:tx>
            <c:strRef>
              <c:f>Sheet2!$D$92</c:f>
              <c:strCache>
                <c:ptCount val="1"/>
                <c:pt idx="0">
                  <c:v>Total</c:v>
                </c:pt>
              </c:strCache>
            </c:strRef>
          </c:tx>
          <c:spPr>
            <a:solidFill>
              <a:schemeClr val="accent1"/>
            </a:solidFill>
            <a:ln>
              <a:noFill/>
            </a:ln>
            <a:effectLst/>
          </c:spPr>
          <c:invertIfNegative val="0"/>
          <c:cat>
            <c:strRef>
              <c:f>Sheet2!$C$93:$C$97</c:f>
              <c:strCache>
                <c:ptCount val="4"/>
                <c:pt idx="0">
                  <c:v>Grocery Store</c:v>
                </c:pt>
                <c:pt idx="1">
                  <c:v>Supermarket Type1</c:v>
                </c:pt>
                <c:pt idx="2">
                  <c:v>Supermarket Type2</c:v>
                </c:pt>
                <c:pt idx="3">
                  <c:v>Supermarket Type3</c:v>
                </c:pt>
              </c:strCache>
            </c:strRef>
          </c:cat>
          <c:val>
            <c:numRef>
              <c:f>Sheet2!$D$93:$D$97</c:f>
              <c:numCache>
                <c:formatCode>0.0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51A8-4284-A032-AB7FCD1F08A2}"/>
            </c:ext>
          </c:extLst>
        </c:ser>
        <c:dLbls>
          <c:showLegendKey val="0"/>
          <c:showVal val="0"/>
          <c:showCatName val="0"/>
          <c:showSerName val="0"/>
          <c:showPercent val="0"/>
          <c:showBubbleSize val="0"/>
        </c:dLbls>
        <c:gapWidth val="182"/>
        <c:axId val="1137706000"/>
        <c:axId val="1137705520"/>
      </c:barChart>
      <c:catAx>
        <c:axId val="113770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05520"/>
        <c:crosses val="autoZero"/>
        <c:auto val="1"/>
        <c:lblAlgn val="ctr"/>
        <c:lblOffset val="100"/>
        <c:noMultiLvlLbl val="0"/>
      </c:catAx>
      <c:valAx>
        <c:axId val="1137705520"/>
        <c:scaling>
          <c:orientation val="minMax"/>
        </c:scaling>
        <c:delete val="1"/>
        <c:axPos val="b"/>
        <c:numFmt formatCode="0.0" sourceLinked="1"/>
        <c:majorTickMark val="none"/>
        <c:minorTickMark val="none"/>
        <c:tickLblPos val="nextTo"/>
        <c:crossAx val="1137706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898805594489443"/>
          <c:y val="5.8469690141335004E-2"/>
          <c:w val="0.62101194405510551"/>
          <c:h val="0.85707409076562557"/>
        </c:manualLayout>
      </c:layout>
      <c:barChart>
        <c:barDir val="bar"/>
        <c:grouping val="clustered"/>
        <c:varyColors val="0"/>
        <c:ser>
          <c:idx val="0"/>
          <c:order val="0"/>
          <c:tx>
            <c:strRef>
              <c:f>Sheet2!$D$103</c:f>
              <c:strCache>
                <c:ptCount val="1"/>
                <c:pt idx="0">
                  <c:v>Total</c:v>
                </c:pt>
              </c:strCache>
            </c:strRef>
          </c:tx>
          <c:spPr>
            <a:solidFill>
              <a:schemeClr val="accent1"/>
            </a:solidFill>
            <a:ln>
              <a:noFill/>
            </a:ln>
            <a:effectLst/>
          </c:spPr>
          <c:invertIfNegative val="0"/>
          <c:cat>
            <c:strRef>
              <c:f>Sheet2!$C$104:$C$108</c:f>
              <c:strCache>
                <c:ptCount val="4"/>
                <c:pt idx="0">
                  <c:v>Grocery Store</c:v>
                </c:pt>
                <c:pt idx="1">
                  <c:v>Supermarket Type1</c:v>
                </c:pt>
                <c:pt idx="2">
                  <c:v>Supermarket Type2</c:v>
                </c:pt>
                <c:pt idx="3">
                  <c:v>Supermarket Type3</c:v>
                </c:pt>
              </c:strCache>
            </c:strRef>
          </c:cat>
          <c:val>
            <c:numRef>
              <c:f>Sheet2!$D$104:$D$108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EF85-429C-BC6E-E8A9E6C34819}"/>
            </c:ext>
          </c:extLst>
        </c:ser>
        <c:dLbls>
          <c:showLegendKey val="0"/>
          <c:showVal val="0"/>
          <c:showCatName val="0"/>
          <c:showSerName val="0"/>
          <c:showPercent val="0"/>
          <c:showBubbleSize val="0"/>
        </c:dLbls>
        <c:gapWidth val="182"/>
        <c:axId val="1257012256"/>
        <c:axId val="1257012736"/>
      </c:barChart>
      <c:catAx>
        <c:axId val="125701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12736"/>
        <c:crosses val="autoZero"/>
        <c:auto val="1"/>
        <c:lblAlgn val="ctr"/>
        <c:lblOffset val="100"/>
        <c:noMultiLvlLbl val="0"/>
      </c:catAx>
      <c:valAx>
        <c:axId val="1257012736"/>
        <c:scaling>
          <c:orientation val="minMax"/>
        </c:scaling>
        <c:delete val="1"/>
        <c:axPos val="b"/>
        <c:numFmt formatCode="General" sourceLinked="1"/>
        <c:majorTickMark val="none"/>
        <c:minorTickMark val="none"/>
        <c:tickLblPos val="nextTo"/>
        <c:crossAx val="125701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(Recovered).xlsx]Sheet2!PivotTable2</c:name>
    <c:fmtId val="15"/>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pivotFmt>
      <c:pivotFmt>
        <c:idx val="8"/>
        <c:spPr>
          <a:solidFill>
            <a:srgbClr val="FFC000"/>
          </a:solidFill>
          <a:ln w="19050">
            <a:solidFill>
              <a:schemeClr val="lt1"/>
            </a:solidFill>
          </a:ln>
          <a:effectLst/>
        </c:spPr>
      </c:pivotFmt>
    </c:pivotFmts>
    <c:plotArea>
      <c:layout/>
      <c:doughnutChart>
        <c:varyColors val="1"/>
        <c:ser>
          <c:idx val="0"/>
          <c:order val="0"/>
          <c:tx>
            <c:strRef>
              <c:f>Sheet2!$C$11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DCFC-4D6A-9924-D251B6A08C4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DCFC-4D6A-9924-D251B6A08C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Sheet2!$B$12:$B$14</c:f>
              <c:strCache>
                <c:ptCount val="2"/>
                <c:pt idx="0">
                  <c:v>Low Fat</c:v>
                </c:pt>
                <c:pt idx="1">
                  <c:v>Regular</c:v>
                </c:pt>
              </c:strCache>
            </c:strRef>
          </c:cat>
          <c:val>
            <c:numRef>
              <c:f>Sheet2!$C$12:$C$14</c:f>
              <c:numCache>
                <c:formatCode>"$"0.00,,"M"</c:formatCode>
                <c:ptCount val="2"/>
                <c:pt idx="0">
                  <c:v>776319.68840000057</c:v>
                </c:pt>
                <c:pt idx="1">
                  <c:v>425361.8043999995</c:v>
                </c:pt>
              </c:numCache>
            </c:numRef>
          </c:val>
          <c:extLst>
            <c:ext xmlns:c16="http://schemas.microsoft.com/office/drawing/2014/chart" uri="{C3380CC4-5D6E-409C-BE32-E72D297353CC}">
              <c16:uniqueId val="{00000004-DCFC-4D6A-9924-D251B6A08C4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65508588558849"/>
          <c:y val="2.9793132864150144E-2"/>
          <c:w val="0.6554907362954927"/>
          <c:h val="0.91184341010876524"/>
        </c:manualLayout>
      </c:layout>
      <c:barChart>
        <c:barDir val="bar"/>
        <c:grouping val="clustered"/>
        <c:varyColors val="0"/>
        <c:ser>
          <c:idx val="0"/>
          <c:order val="0"/>
          <c:tx>
            <c:strRef>
              <c:f>Sheet2!$P$25</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Sheet2!$O$26:$O$42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Sheet2!$P$26:$P$42</c:f>
              <c:numCache>
                <c:formatCode>"$"0.00,,"M"</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C05-4C70-8828-A192D988AF7A}"/>
            </c:ext>
          </c:extLst>
        </c:ser>
        <c:dLbls>
          <c:showLegendKey val="0"/>
          <c:showVal val="0"/>
          <c:showCatName val="0"/>
          <c:showSerName val="0"/>
          <c:showPercent val="0"/>
          <c:showBubbleSize val="0"/>
        </c:dLbls>
        <c:gapWidth val="50"/>
        <c:axId val="1138859984"/>
        <c:axId val="1138864784"/>
      </c:barChart>
      <c:catAx>
        <c:axId val="113885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38864784"/>
        <c:crosses val="autoZero"/>
        <c:auto val="1"/>
        <c:lblAlgn val="ctr"/>
        <c:lblOffset val="100"/>
        <c:noMultiLvlLbl val="0"/>
      </c:catAx>
      <c:valAx>
        <c:axId val="1138864784"/>
        <c:scaling>
          <c:orientation val="minMax"/>
        </c:scaling>
        <c:delete val="1"/>
        <c:axPos val="b"/>
        <c:numFmt formatCode="&quot;$&quot;0.00,,&quot;M&quot;" sourceLinked="1"/>
        <c:majorTickMark val="none"/>
        <c:minorTickMark val="none"/>
        <c:tickLblPos val="nextTo"/>
        <c:crossAx val="1138859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65491454981231"/>
          <c:y val="0.15441258556524182"/>
          <c:w val="0.67731802537156161"/>
          <c:h val="0.84558741443475816"/>
        </c:manualLayout>
      </c:layout>
      <c:barChart>
        <c:barDir val="bar"/>
        <c:grouping val="clustered"/>
        <c:varyColors val="0"/>
        <c:ser>
          <c:idx val="0"/>
          <c:order val="0"/>
          <c:tx>
            <c:strRef>
              <c:f>Sheet2!$D$24:$D$25</c:f>
              <c:strCache>
                <c:ptCount val="1"/>
                <c:pt idx="0">
                  <c:v>Low Fat</c:v>
                </c:pt>
              </c:strCache>
            </c:strRef>
          </c:tx>
          <c:spPr>
            <a:solidFill>
              <a:schemeClr val="accent6">
                <a:lumMod val="75000"/>
              </a:schemeClr>
            </a:solidFill>
            <a:ln>
              <a:noFill/>
            </a:ln>
            <a:effectLst/>
          </c:spPr>
          <c:invertIfNegative val="0"/>
          <c:cat>
            <c:strRef>
              <c:f>Sheet2!$C$26:$C$28</c:f>
              <c:strCache>
                <c:ptCount val="3"/>
                <c:pt idx="0">
                  <c:v>Tier 1</c:v>
                </c:pt>
                <c:pt idx="1">
                  <c:v>Tier 2</c:v>
                </c:pt>
                <c:pt idx="2">
                  <c:v>Tier 3</c:v>
                </c:pt>
              </c:strCache>
            </c:strRef>
          </c:cat>
          <c:val>
            <c:numRef>
              <c:f>Sheet2!$D$26:$D$28</c:f>
              <c:numCache>
                <c:formatCode>"$"0.00,,"M"</c:formatCode>
                <c:ptCount val="3"/>
                <c:pt idx="0">
                  <c:v>215047.9126000001</c:v>
                </c:pt>
                <c:pt idx="1">
                  <c:v>254464.77940000014</c:v>
                </c:pt>
                <c:pt idx="2">
                  <c:v>306806.99640000012</c:v>
                </c:pt>
              </c:numCache>
            </c:numRef>
          </c:val>
          <c:extLst>
            <c:ext xmlns:c16="http://schemas.microsoft.com/office/drawing/2014/chart" uri="{C3380CC4-5D6E-409C-BE32-E72D297353CC}">
              <c16:uniqueId val="{00000000-2439-40BD-ADE9-7953D4637F4D}"/>
            </c:ext>
          </c:extLst>
        </c:ser>
        <c:ser>
          <c:idx val="1"/>
          <c:order val="1"/>
          <c:tx>
            <c:strRef>
              <c:f>Sheet2!$E$24:$E$25</c:f>
              <c:strCache>
                <c:ptCount val="1"/>
                <c:pt idx="0">
                  <c:v>Regular</c:v>
                </c:pt>
              </c:strCache>
            </c:strRef>
          </c:tx>
          <c:spPr>
            <a:solidFill>
              <a:srgbClr val="FFD200"/>
            </a:solidFill>
            <a:ln>
              <a:noFill/>
            </a:ln>
            <a:effectLst/>
          </c:spPr>
          <c:invertIfNegative val="0"/>
          <c:cat>
            <c:strRef>
              <c:f>Sheet2!$C$26:$C$28</c:f>
              <c:strCache>
                <c:ptCount val="3"/>
                <c:pt idx="0">
                  <c:v>Tier 1</c:v>
                </c:pt>
                <c:pt idx="1">
                  <c:v>Tier 2</c:v>
                </c:pt>
                <c:pt idx="2">
                  <c:v>Tier 3</c:v>
                </c:pt>
              </c:strCache>
            </c:strRef>
          </c:cat>
          <c:val>
            <c:numRef>
              <c:f>Sheet2!$E$26:$E$28</c:f>
              <c:numCache>
                <c:formatCode>"$"0.00,,"M"</c:formatCode>
                <c:ptCount val="3"/>
                <c:pt idx="0">
                  <c:v>121349.89940000001</c:v>
                </c:pt>
                <c:pt idx="1">
                  <c:v>138685.86819999994</c:v>
                </c:pt>
                <c:pt idx="2">
                  <c:v>165326.0368</c:v>
                </c:pt>
              </c:numCache>
            </c:numRef>
          </c:val>
          <c:extLst>
            <c:ext xmlns:c16="http://schemas.microsoft.com/office/drawing/2014/chart" uri="{C3380CC4-5D6E-409C-BE32-E72D297353CC}">
              <c16:uniqueId val="{00000001-2439-40BD-ADE9-7953D4637F4D}"/>
            </c:ext>
          </c:extLst>
        </c:ser>
        <c:dLbls>
          <c:showLegendKey val="0"/>
          <c:showVal val="0"/>
          <c:showCatName val="0"/>
          <c:showSerName val="0"/>
          <c:showPercent val="0"/>
          <c:showBubbleSize val="0"/>
        </c:dLbls>
        <c:gapWidth val="182"/>
        <c:axId val="1140963968"/>
        <c:axId val="1140954368"/>
      </c:barChart>
      <c:catAx>
        <c:axId val="114096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40954368"/>
        <c:crosses val="autoZero"/>
        <c:auto val="1"/>
        <c:lblAlgn val="ctr"/>
        <c:lblOffset val="100"/>
        <c:noMultiLvlLbl val="0"/>
      </c:catAx>
      <c:valAx>
        <c:axId val="1140954368"/>
        <c:scaling>
          <c:orientation val="minMax"/>
        </c:scaling>
        <c:delete val="1"/>
        <c:axPos val="b"/>
        <c:numFmt formatCode="&quot;$&quot;0.00,,&quot;M&quot;" sourceLinked="1"/>
        <c:majorTickMark val="none"/>
        <c:minorTickMark val="none"/>
        <c:tickLblPos val="nextTo"/>
        <c:crossAx val="1140963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a:noFill/>
          </a:ln>
          <a:effectLst>
            <a:innerShdw blurRad="114300">
              <a:schemeClr val="accent1"/>
            </a:innerShdw>
          </a:effectLst>
        </c:spPr>
        <c:dLbl>
          <c:idx val="0"/>
          <c:layout>
            <c:manualLayout>
              <c:x val="-5.2088652425547064E-3"/>
              <c:y val="-0.14549696273788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a:noFill/>
          </a:ln>
          <a:effectLst>
            <a:innerShdw blurRad="114300">
              <a:schemeClr val="accent1"/>
            </a:innerShdw>
          </a:effectLst>
        </c:spPr>
        <c:dLbl>
          <c:idx val="0"/>
          <c:layout>
            <c:manualLayout>
              <c:x val="2.1868529171846886E-17"/>
              <c:y val="-0.271333411681748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a:noFill/>
          </a:ln>
          <a:effectLst>
            <a:innerShdw blurRad="114300">
              <a:schemeClr val="accent1"/>
            </a:innerShdw>
          </a:effectLst>
        </c:spPr>
        <c:dLbl>
          <c:idx val="0"/>
          <c:layout>
            <c:manualLayout>
              <c:x val="-7.1570558614784709E-3"/>
              <c:y val="-0.248096368550946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a:noFill/>
          </a:ln>
          <a:effectLst>
            <a:innerShdw blurRad="114300">
              <a:schemeClr val="accent1"/>
            </a:innerShdw>
          </a:effectLst>
        </c:spPr>
        <c:dLbl>
          <c:idx val="0"/>
          <c:layout>
            <c:manualLayout>
              <c:x val="-3.4793435345487115E-3"/>
              <c:y val="-0.264076624750264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a:noFill/>
          </a:ln>
          <a:effectLst>
            <a:innerShdw blurRad="114300">
              <a:schemeClr val="accent1"/>
            </a:innerShdw>
          </a:effectLst>
        </c:spPr>
        <c:dLbl>
          <c:idx val="0"/>
          <c:layout>
            <c:manualLayout>
              <c:x val="1.7295279085730259E-3"/>
              <c:y val="-0.276016923257727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a:noFill/>
          </a:ln>
          <a:effectLst>
            <a:innerShdw blurRad="114300">
              <a:schemeClr val="accent1"/>
            </a:innerShdw>
          </a:effectLst>
        </c:spPr>
        <c:dLbl>
          <c:idx val="0"/>
          <c:layout>
            <c:manualLayout>
              <c:x val="-5.2088714431216933E-3"/>
              <c:y val="-0.289887413327065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a:noFill/>
          </a:ln>
          <a:effectLst>
            <a:innerShdw blurRad="114300">
              <a:schemeClr val="accent1"/>
            </a:innerShdw>
          </a:effectLst>
        </c:spPr>
        <c:dLbl>
          <c:idx val="0"/>
          <c:layout>
            <c:manualLayout>
              <c:x val="-7.8132978638321554E-3"/>
              <c:y val="-0.337288413619640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a:noFill/>
          </a:ln>
          <a:effectLst>
            <a:innerShdw blurRad="114300">
              <a:schemeClr val="accent1"/>
            </a:innerShdw>
          </a:effectLst>
        </c:spPr>
        <c:dLbl>
          <c:idx val="0"/>
          <c:layout>
            <c:manualLayout>
              <c:x val="7.813400400549432E-3"/>
              <c:y val="-0.28107367801636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a:noFill/>
          </a:ln>
          <a:effectLst>
            <a:innerShdw blurRad="114300">
              <a:schemeClr val="accent1"/>
            </a:innerShdw>
          </a:effectLst>
        </c:spPr>
        <c:dLbl>
          <c:idx val="0"/>
          <c:layout>
            <c:manualLayout>
              <c:x val="-5.2088652425547064E-3"/>
              <c:y val="-0.25131293563816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5868545058976"/>
          <c:y val="4.3611925973048173E-2"/>
          <c:w val="0.80692982370559718"/>
          <c:h val="0.81356845999249672"/>
        </c:manualLayout>
      </c:layout>
      <c:areaChart>
        <c:grouping val="standard"/>
        <c:varyColors val="0"/>
        <c:ser>
          <c:idx val="0"/>
          <c:order val="0"/>
          <c:tx>
            <c:strRef>
              <c:f>Sheet2!$E$42</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dPt>
            <c:idx val="0"/>
            <c:bubble3D val="0"/>
            <c:extLst>
              <c:ext xmlns:c16="http://schemas.microsoft.com/office/drawing/2014/chart" uri="{C3380CC4-5D6E-409C-BE32-E72D297353CC}">
                <c16:uniqueId val="{00000000-F30F-4BF0-9059-FFF6261DF474}"/>
              </c:ext>
            </c:extLst>
          </c:dPt>
          <c:dPt>
            <c:idx val="1"/>
            <c:bubble3D val="0"/>
            <c:extLst>
              <c:ext xmlns:c16="http://schemas.microsoft.com/office/drawing/2014/chart" uri="{C3380CC4-5D6E-409C-BE32-E72D297353CC}">
                <c16:uniqueId val="{00000001-F30F-4BF0-9059-FFF6261DF474}"/>
              </c:ext>
            </c:extLst>
          </c:dPt>
          <c:dPt>
            <c:idx val="2"/>
            <c:bubble3D val="0"/>
            <c:extLst>
              <c:ext xmlns:c16="http://schemas.microsoft.com/office/drawing/2014/chart" uri="{C3380CC4-5D6E-409C-BE32-E72D297353CC}">
                <c16:uniqueId val="{00000002-F30F-4BF0-9059-FFF6261DF474}"/>
              </c:ext>
            </c:extLst>
          </c:dPt>
          <c:dPt>
            <c:idx val="3"/>
            <c:bubble3D val="0"/>
            <c:extLst>
              <c:ext xmlns:c16="http://schemas.microsoft.com/office/drawing/2014/chart" uri="{C3380CC4-5D6E-409C-BE32-E72D297353CC}">
                <c16:uniqueId val="{00000003-F30F-4BF0-9059-FFF6261DF474}"/>
              </c:ext>
            </c:extLst>
          </c:dPt>
          <c:dPt>
            <c:idx val="4"/>
            <c:bubble3D val="0"/>
            <c:extLst>
              <c:ext xmlns:c16="http://schemas.microsoft.com/office/drawing/2014/chart" uri="{C3380CC4-5D6E-409C-BE32-E72D297353CC}">
                <c16:uniqueId val="{00000004-F30F-4BF0-9059-FFF6261DF474}"/>
              </c:ext>
            </c:extLst>
          </c:dPt>
          <c:dPt>
            <c:idx val="5"/>
            <c:bubble3D val="0"/>
            <c:extLst>
              <c:ext xmlns:c16="http://schemas.microsoft.com/office/drawing/2014/chart" uri="{C3380CC4-5D6E-409C-BE32-E72D297353CC}">
                <c16:uniqueId val="{00000005-F30F-4BF0-9059-FFF6261DF474}"/>
              </c:ext>
            </c:extLst>
          </c:dPt>
          <c:dPt>
            <c:idx val="6"/>
            <c:bubble3D val="0"/>
            <c:extLst>
              <c:ext xmlns:c16="http://schemas.microsoft.com/office/drawing/2014/chart" uri="{C3380CC4-5D6E-409C-BE32-E72D297353CC}">
                <c16:uniqueId val="{00000006-F30F-4BF0-9059-FFF6261DF474}"/>
              </c:ext>
            </c:extLst>
          </c:dPt>
          <c:dPt>
            <c:idx val="7"/>
            <c:bubble3D val="0"/>
            <c:extLst>
              <c:ext xmlns:c16="http://schemas.microsoft.com/office/drawing/2014/chart" uri="{C3380CC4-5D6E-409C-BE32-E72D297353CC}">
                <c16:uniqueId val="{00000007-F30F-4BF0-9059-FFF6261DF474}"/>
              </c:ext>
            </c:extLst>
          </c:dPt>
          <c:dPt>
            <c:idx val="8"/>
            <c:bubble3D val="0"/>
            <c:extLst>
              <c:ext xmlns:c16="http://schemas.microsoft.com/office/drawing/2014/chart" uri="{C3380CC4-5D6E-409C-BE32-E72D297353CC}">
                <c16:uniqueId val="{00000008-F30F-4BF0-9059-FFF6261DF474}"/>
              </c:ext>
            </c:extLst>
          </c:dPt>
          <c:dLbls>
            <c:dLbl>
              <c:idx val="0"/>
              <c:layout>
                <c:manualLayout>
                  <c:x val="-5.2088652425547064E-3"/>
                  <c:y val="-0.145496962737884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0F-4BF0-9059-FFF6261DF474}"/>
                </c:ext>
              </c:extLst>
            </c:dLbl>
            <c:dLbl>
              <c:idx val="1"/>
              <c:layout>
                <c:manualLayout>
                  <c:x val="2.1868529171846886E-17"/>
                  <c:y val="-0.271333411681748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0F-4BF0-9059-FFF6261DF474}"/>
                </c:ext>
              </c:extLst>
            </c:dLbl>
            <c:dLbl>
              <c:idx val="2"/>
              <c:layout>
                <c:manualLayout>
                  <c:x val="-7.1570558614784709E-3"/>
                  <c:y val="-0.248096368550946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0F-4BF0-9059-FFF6261DF474}"/>
                </c:ext>
              </c:extLst>
            </c:dLbl>
            <c:dLbl>
              <c:idx val="3"/>
              <c:layout>
                <c:manualLayout>
                  <c:x val="-3.4793435345487115E-3"/>
                  <c:y val="-0.264076624750264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0F-4BF0-9059-FFF6261DF474}"/>
                </c:ext>
              </c:extLst>
            </c:dLbl>
            <c:dLbl>
              <c:idx val="4"/>
              <c:layout>
                <c:manualLayout>
                  <c:x val="1.7295279085730259E-3"/>
                  <c:y val="-0.276016923257727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0F-4BF0-9059-FFF6261DF474}"/>
                </c:ext>
              </c:extLst>
            </c:dLbl>
            <c:dLbl>
              <c:idx val="5"/>
              <c:layout>
                <c:manualLayout>
                  <c:x val="-5.2088714431216933E-3"/>
                  <c:y val="-0.28988741332706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0F-4BF0-9059-FFF6261DF474}"/>
                </c:ext>
              </c:extLst>
            </c:dLbl>
            <c:dLbl>
              <c:idx val="6"/>
              <c:layout>
                <c:manualLayout>
                  <c:x val="-7.8132978638321554E-3"/>
                  <c:y val="-0.337288413619640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0F-4BF0-9059-FFF6261DF474}"/>
                </c:ext>
              </c:extLst>
            </c:dLbl>
            <c:dLbl>
              <c:idx val="7"/>
              <c:layout>
                <c:manualLayout>
                  <c:x val="7.813400400549432E-3"/>
                  <c:y val="-0.281073678016367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0F-4BF0-9059-FFF6261DF474}"/>
                </c:ext>
              </c:extLst>
            </c:dLbl>
            <c:dLbl>
              <c:idx val="8"/>
              <c:layout>
                <c:manualLayout>
                  <c:x val="-5.2088652425547064E-3"/>
                  <c:y val="-0.251312935638163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0F-4BF0-9059-FFF6261DF4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Sheet2!$D$43:$D$52</c:f>
              <c:strCache>
                <c:ptCount val="9"/>
                <c:pt idx="0">
                  <c:v>2011</c:v>
                </c:pt>
                <c:pt idx="1">
                  <c:v>2012</c:v>
                </c:pt>
                <c:pt idx="2">
                  <c:v>2014</c:v>
                </c:pt>
                <c:pt idx="3">
                  <c:v>2015</c:v>
                </c:pt>
                <c:pt idx="4">
                  <c:v>2016</c:v>
                </c:pt>
                <c:pt idx="5">
                  <c:v>2017</c:v>
                </c:pt>
                <c:pt idx="6">
                  <c:v>2018</c:v>
                </c:pt>
                <c:pt idx="7">
                  <c:v>2020</c:v>
                </c:pt>
                <c:pt idx="8">
                  <c:v>2022</c:v>
                </c:pt>
              </c:strCache>
            </c:strRef>
          </c:cat>
          <c:val>
            <c:numRef>
              <c:f>Sheet2!$E$43:$E$52</c:f>
              <c:numCache>
                <c:formatCode>"$"0.00,,"M"</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30B-41CC-9A90-A0FA79DE4CC0}"/>
            </c:ext>
          </c:extLst>
        </c:ser>
        <c:dLbls>
          <c:showLegendKey val="0"/>
          <c:showVal val="0"/>
          <c:showCatName val="0"/>
          <c:showSerName val="0"/>
          <c:showPercent val="0"/>
          <c:showBubbleSize val="0"/>
        </c:dLbls>
        <c:axId val="1367061744"/>
        <c:axId val="1367060304"/>
      </c:areaChart>
      <c:catAx>
        <c:axId val="1367061744"/>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95000"/>
                    <a:lumOff val="5000"/>
                  </a:schemeClr>
                </a:solidFill>
                <a:latin typeface="+mn-lt"/>
                <a:ea typeface="+mn-ea"/>
                <a:cs typeface="+mn-cs"/>
              </a:defRPr>
            </a:pPr>
            <a:endParaRPr lang="en-US"/>
          </a:p>
        </c:txPr>
        <c:crossAx val="1367060304"/>
        <c:crosses val="autoZero"/>
        <c:auto val="1"/>
        <c:lblAlgn val="ctr"/>
        <c:lblOffset val="100"/>
        <c:noMultiLvlLbl val="0"/>
      </c:catAx>
      <c:valAx>
        <c:axId val="1367060304"/>
        <c:scaling>
          <c:orientation val="minMax"/>
        </c:scaling>
        <c:delete val="0"/>
        <c:axPos val="l"/>
        <c:numFmt formatCode="&quot;$&quot;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670617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noFill/>
          </a:ln>
          <a:effectLst/>
        </c:spPr>
      </c:pivotFmt>
      <c:pivotFmt>
        <c:idx val="10"/>
        <c:spPr>
          <a:solidFill>
            <a:schemeClr val="accent6">
              <a:lumMod val="50000"/>
            </a:schemeClr>
          </a:solidFill>
          <a:ln w="19050">
            <a:solidFill>
              <a:schemeClr val="lt1"/>
            </a:solidFill>
          </a:ln>
          <a:effectLst/>
        </c:spPr>
      </c:pivotFmt>
      <c:pivotFmt>
        <c:idx val="11"/>
        <c:spPr>
          <a:solidFill>
            <a:srgbClr val="FFC000"/>
          </a:solidFill>
          <a:ln w="19050">
            <a:noFill/>
          </a:ln>
          <a:effectLst/>
        </c:spPr>
      </c:pivotFmt>
    </c:pivotFmts>
    <c:plotArea>
      <c:layout>
        <c:manualLayout>
          <c:layoutTarget val="inner"/>
          <c:xMode val="edge"/>
          <c:yMode val="edge"/>
          <c:x val="0.19078483794176893"/>
          <c:y val="0.15450228047377976"/>
          <c:w val="0.54869364585240787"/>
          <c:h val="0.72670936097743866"/>
        </c:manualLayout>
      </c:layout>
      <c:doughnutChart>
        <c:varyColors val="1"/>
        <c:ser>
          <c:idx val="0"/>
          <c:order val="0"/>
          <c:tx>
            <c:strRef>
              <c:f>Sheet2!$D$59</c:f>
              <c:strCache>
                <c:ptCount val="1"/>
                <c:pt idx="0">
                  <c:v>Total</c:v>
                </c:pt>
              </c:strCache>
            </c:strRef>
          </c:tx>
          <c:dPt>
            <c:idx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1-C7ED-4AE2-9ABA-C431B589EACA}"/>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C7ED-4AE2-9ABA-C431B589EACA}"/>
              </c:ext>
            </c:extLst>
          </c:dPt>
          <c:dPt>
            <c:idx val="2"/>
            <c:bubble3D val="0"/>
            <c:spPr>
              <a:solidFill>
                <a:srgbClr val="FFC000"/>
              </a:solidFill>
              <a:ln w="19050">
                <a:noFill/>
              </a:ln>
              <a:effectLst/>
            </c:spPr>
            <c:extLst>
              <c:ext xmlns:c16="http://schemas.microsoft.com/office/drawing/2014/chart" uri="{C3380CC4-5D6E-409C-BE32-E72D297353CC}">
                <c16:uniqueId val="{00000005-C7ED-4AE2-9ABA-C431B589EA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Sheet2!$C$60:$C$63</c:f>
              <c:strCache>
                <c:ptCount val="3"/>
                <c:pt idx="0">
                  <c:v>High</c:v>
                </c:pt>
                <c:pt idx="1">
                  <c:v>Medium</c:v>
                </c:pt>
                <c:pt idx="2">
                  <c:v>Small</c:v>
                </c:pt>
              </c:strCache>
            </c:strRef>
          </c:cat>
          <c:val>
            <c:numRef>
              <c:f>Sheet2!$D$60:$D$63</c:f>
              <c:numCache>
                <c:formatCode>"$"0.00,,"M"</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7ED-4AE2-9ABA-C431B589EAC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(Recovered).xlsx]Sheet2!PivotTable7</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Sheet2!$D$70</c:f>
              <c:strCache>
                <c:ptCount val="1"/>
                <c:pt idx="0">
                  <c:v>Total</c:v>
                </c:pt>
              </c:strCache>
            </c:strRef>
          </c:tx>
          <c:spPr>
            <a:solidFill>
              <a:schemeClr val="accent6">
                <a:lumMod val="75000"/>
              </a:schemeClr>
            </a:soli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Sheet2!$C$71:$C$74</c:f>
              <c:strCache>
                <c:ptCount val="3"/>
                <c:pt idx="0">
                  <c:v>Tier 1</c:v>
                </c:pt>
                <c:pt idx="1">
                  <c:v>Tier 2</c:v>
                </c:pt>
                <c:pt idx="2">
                  <c:v>Tier 3</c:v>
                </c:pt>
              </c:strCache>
            </c:strRef>
          </c:cat>
          <c:val>
            <c:numRef>
              <c:f>Sheet2!$D$71:$D$74</c:f>
              <c:numCache>
                <c:formatCode>"$"0.00,,"M"</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BFCF-4C1B-98CD-93CC6153B418}"/>
            </c:ext>
          </c:extLst>
        </c:ser>
        <c:dLbls>
          <c:dLblPos val="outEnd"/>
          <c:showLegendKey val="0"/>
          <c:showVal val="1"/>
          <c:showCatName val="0"/>
          <c:showSerName val="0"/>
          <c:showPercent val="0"/>
          <c:showBubbleSize val="0"/>
        </c:dLbls>
        <c:gapWidth val="182"/>
        <c:axId val="513886719"/>
        <c:axId val="513898239"/>
      </c:barChart>
      <c:catAx>
        <c:axId val="51388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13898239"/>
        <c:crosses val="autoZero"/>
        <c:auto val="1"/>
        <c:lblAlgn val="ctr"/>
        <c:lblOffset val="100"/>
        <c:noMultiLvlLbl val="0"/>
      </c:catAx>
      <c:valAx>
        <c:axId val="513898239"/>
        <c:scaling>
          <c:orientation val="minMax"/>
        </c:scaling>
        <c:delete val="0"/>
        <c:axPos val="b"/>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1388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alpha val="6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21912074331292"/>
          <c:y val="0"/>
          <c:w val="0.5897248075851933"/>
          <c:h val="0.86237253204000952"/>
        </c:manualLayout>
      </c:layout>
      <c:barChart>
        <c:barDir val="bar"/>
        <c:grouping val="clustered"/>
        <c:varyColors val="0"/>
        <c:ser>
          <c:idx val="0"/>
          <c:order val="0"/>
          <c:tx>
            <c:strRef>
              <c:f>Sheet2!$D$81</c:f>
              <c:strCache>
                <c:ptCount val="1"/>
                <c:pt idx="0">
                  <c:v>Total</c:v>
                </c:pt>
              </c:strCache>
            </c:strRef>
          </c:tx>
          <c:spPr>
            <a:solidFill>
              <a:schemeClr val="accent4">
                <a:lumMod val="50000"/>
                <a:alpha val="6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Sheet2!$C$82:$C$86</c:f>
              <c:strCache>
                <c:ptCount val="4"/>
                <c:pt idx="0">
                  <c:v>Grocery Store</c:v>
                </c:pt>
                <c:pt idx="1">
                  <c:v>Supermarket Type1</c:v>
                </c:pt>
                <c:pt idx="2">
                  <c:v>Supermarket Type2</c:v>
                </c:pt>
                <c:pt idx="3">
                  <c:v>Supermarket Type3</c:v>
                </c:pt>
              </c:strCache>
            </c:strRef>
          </c:cat>
          <c:val>
            <c:numRef>
              <c:f>Sheet2!$D$82:$D$86</c:f>
              <c:numCache>
                <c:formatCode>"$"0.00,,"M"</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BDA0-4581-8CDC-1C6984ACC31E}"/>
            </c:ext>
          </c:extLst>
        </c:ser>
        <c:dLbls>
          <c:showLegendKey val="0"/>
          <c:showVal val="0"/>
          <c:showCatName val="0"/>
          <c:showSerName val="0"/>
          <c:showPercent val="0"/>
          <c:showBubbleSize val="0"/>
        </c:dLbls>
        <c:gapWidth val="182"/>
        <c:axId val="987481184"/>
        <c:axId val="987477824"/>
      </c:barChart>
      <c:catAx>
        <c:axId val="98748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87477824"/>
        <c:crosses val="autoZero"/>
        <c:auto val="1"/>
        <c:lblAlgn val="ctr"/>
        <c:lblOffset val="100"/>
        <c:noMultiLvlLbl val="0"/>
      </c:catAx>
      <c:valAx>
        <c:axId val="987477824"/>
        <c:scaling>
          <c:orientation val="minMax"/>
        </c:scaling>
        <c:delete val="1"/>
        <c:axPos val="b"/>
        <c:numFmt formatCode="&quot;$&quot;0.00,,&quot;M&quot;" sourceLinked="1"/>
        <c:majorTickMark val="none"/>
        <c:minorTickMark val="none"/>
        <c:tickLblPos val="nextTo"/>
        <c:crossAx val="98748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solidFill>
              <a:srgbClr val="FFD2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379071159261291"/>
          <c:y val="3.6895190744568221E-2"/>
          <c:w val="0.59099903406393661"/>
          <c:h val="0.84515113559528687"/>
        </c:manualLayout>
      </c:layout>
      <c:barChart>
        <c:barDir val="bar"/>
        <c:grouping val="clustered"/>
        <c:varyColors val="0"/>
        <c:ser>
          <c:idx val="0"/>
          <c:order val="0"/>
          <c:tx>
            <c:strRef>
              <c:f>Sheet2!$D$92</c:f>
              <c:strCache>
                <c:ptCount val="1"/>
                <c:pt idx="0">
                  <c:v>Total</c:v>
                </c:pt>
              </c:strCache>
            </c:strRef>
          </c:tx>
          <c:spPr>
            <a:solidFill>
              <a:srgbClr val="FFD200"/>
            </a:solidFill>
            <a:ln>
              <a:solidFill>
                <a:srgbClr val="FFD2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Sheet2!$C$93:$C$97</c:f>
              <c:strCache>
                <c:ptCount val="4"/>
                <c:pt idx="0">
                  <c:v>Grocery Store</c:v>
                </c:pt>
                <c:pt idx="1">
                  <c:v>Supermarket Type1</c:v>
                </c:pt>
                <c:pt idx="2">
                  <c:v>Supermarket Type2</c:v>
                </c:pt>
                <c:pt idx="3">
                  <c:v>Supermarket Type3</c:v>
                </c:pt>
              </c:strCache>
            </c:strRef>
          </c:cat>
          <c:val>
            <c:numRef>
              <c:f>Sheet2!$D$93:$D$97</c:f>
              <c:numCache>
                <c:formatCode>0.0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EE6F-4866-B6EF-CA447FA4F2C3}"/>
            </c:ext>
          </c:extLst>
        </c:ser>
        <c:dLbls>
          <c:dLblPos val="outEnd"/>
          <c:showLegendKey val="0"/>
          <c:showVal val="1"/>
          <c:showCatName val="0"/>
          <c:showSerName val="0"/>
          <c:showPercent val="0"/>
          <c:showBubbleSize val="0"/>
        </c:dLbls>
        <c:gapWidth val="182"/>
        <c:axId val="1137706000"/>
        <c:axId val="1137705520"/>
      </c:barChart>
      <c:catAx>
        <c:axId val="113770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37705520"/>
        <c:crosses val="autoZero"/>
        <c:auto val="1"/>
        <c:lblAlgn val="ctr"/>
        <c:lblOffset val="100"/>
        <c:noMultiLvlLbl val="0"/>
      </c:catAx>
      <c:valAx>
        <c:axId val="1137705520"/>
        <c:scaling>
          <c:orientation val="minMax"/>
        </c:scaling>
        <c:delete val="1"/>
        <c:axPos val="b"/>
        <c:numFmt formatCode="0.0" sourceLinked="1"/>
        <c:majorTickMark val="none"/>
        <c:minorTickMark val="none"/>
        <c:tickLblPos val="nextTo"/>
        <c:crossAx val="1137706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(Recovered).xlsx]Sheet2!PivotTable10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alpha val="49000"/>
            </a:schemeClr>
          </a:solidFill>
          <a:ln>
            <a:solidFill>
              <a:srgbClr val="FFD200">
                <a:alpha val="25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898805594489443"/>
          <c:y val="5.8469690141335004E-2"/>
          <c:w val="0.62101194405510551"/>
          <c:h val="0.85707409076562557"/>
        </c:manualLayout>
      </c:layout>
      <c:barChart>
        <c:barDir val="bar"/>
        <c:grouping val="clustered"/>
        <c:varyColors val="0"/>
        <c:ser>
          <c:idx val="0"/>
          <c:order val="0"/>
          <c:tx>
            <c:strRef>
              <c:f>Sheet2!$D$103</c:f>
              <c:strCache>
                <c:ptCount val="1"/>
                <c:pt idx="0">
                  <c:v>Total</c:v>
                </c:pt>
              </c:strCache>
            </c:strRef>
          </c:tx>
          <c:spPr>
            <a:solidFill>
              <a:schemeClr val="accent6">
                <a:lumMod val="75000"/>
                <a:alpha val="49000"/>
              </a:schemeClr>
            </a:solidFill>
            <a:ln>
              <a:solidFill>
                <a:srgbClr val="FFD200">
                  <a:alpha val="25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Sheet2!$C$104:$C$108</c:f>
              <c:strCache>
                <c:ptCount val="4"/>
                <c:pt idx="0">
                  <c:v>Grocery Store</c:v>
                </c:pt>
                <c:pt idx="1">
                  <c:v>Supermarket Type1</c:v>
                </c:pt>
                <c:pt idx="2">
                  <c:v>Supermarket Type2</c:v>
                </c:pt>
                <c:pt idx="3">
                  <c:v>Supermarket Type3</c:v>
                </c:pt>
              </c:strCache>
            </c:strRef>
          </c:cat>
          <c:val>
            <c:numRef>
              <c:f>Sheet2!$D$104:$D$108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BE21-4137-9BCC-EF55F8EC92AC}"/>
            </c:ext>
          </c:extLst>
        </c:ser>
        <c:dLbls>
          <c:dLblPos val="outEnd"/>
          <c:showLegendKey val="0"/>
          <c:showVal val="1"/>
          <c:showCatName val="0"/>
          <c:showSerName val="0"/>
          <c:showPercent val="0"/>
          <c:showBubbleSize val="0"/>
        </c:dLbls>
        <c:gapWidth val="182"/>
        <c:axId val="1257012256"/>
        <c:axId val="1257012736"/>
      </c:barChart>
      <c:catAx>
        <c:axId val="125701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57012736"/>
        <c:crosses val="autoZero"/>
        <c:auto val="1"/>
        <c:lblAlgn val="ctr"/>
        <c:lblOffset val="100"/>
        <c:noMultiLvlLbl val="0"/>
      </c:catAx>
      <c:valAx>
        <c:axId val="1257012736"/>
        <c:scaling>
          <c:orientation val="minMax"/>
        </c:scaling>
        <c:delete val="1"/>
        <c:axPos val="b"/>
        <c:numFmt formatCode="General" sourceLinked="1"/>
        <c:majorTickMark val="none"/>
        <c:minorTickMark val="none"/>
        <c:tickLblPos val="nextTo"/>
        <c:crossAx val="125701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1.jp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5</xdr:col>
      <xdr:colOff>770273</xdr:colOff>
      <xdr:row>1</xdr:row>
      <xdr:rowOff>50511</xdr:rowOff>
    </xdr:from>
    <xdr:to>
      <xdr:col>7</xdr:col>
      <xdr:colOff>763896</xdr:colOff>
      <xdr:row>8</xdr:row>
      <xdr:rowOff>6752</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88D741B-A2E6-1798-932D-7FB75C5C3A9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111202" y="254618"/>
              <a:ext cx="1830587" cy="1384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685800</xdr:colOff>
      <xdr:row>10</xdr:row>
      <xdr:rowOff>60960</xdr:rowOff>
    </xdr:from>
    <xdr:to>
      <xdr:col>5</xdr:col>
      <xdr:colOff>605692</xdr:colOff>
      <xdr:row>17</xdr:row>
      <xdr:rowOff>163830</xdr:rowOff>
    </xdr:to>
    <xdr:graphicFrame macro="">
      <xdr:nvGraphicFramePr>
        <xdr:cNvPr id="5" name="Chart 4">
          <a:extLst>
            <a:ext uri="{FF2B5EF4-FFF2-40B4-BE49-F238E27FC236}">
              <a16:creationId xmlns:a16="http://schemas.microsoft.com/office/drawing/2014/main" id="{9A65CE3F-FBEC-8D8A-F6B3-76090C0EE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219807</xdr:colOff>
      <xdr:row>55</xdr:row>
      <xdr:rowOff>181707</xdr:rowOff>
    </xdr:from>
    <xdr:to>
      <xdr:col>8</xdr:col>
      <xdr:colOff>615461</xdr:colOff>
      <xdr:row>64</xdr:row>
      <xdr:rowOff>58615</xdr:rowOff>
    </xdr:to>
    <xdr:graphicFrame macro="">
      <xdr:nvGraphicFramePr>
        <xdr:cNvPr id="8" name="Chart 7">
          <a:extLst>
            <a:ext uri="{FF2B5EF4-FFF2-40B4-BE49-F238E27FC236}">
              <a16:creationId xmlns:a16="http://schemas.microsoft.com/office/drawing/2014/main" id="{E034F9EC-6A4D-1BFC-EB1E-2248C7C80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9768</xdr:colOff>
      <xdr:row>68</xdr:row>
      <xdr:rowOff>9769</xdr:rowOff>
    </xdr:from>
    <xdr:to>
      <xdr:col>8</xdr:col>
      <xdr:colOff>503114</xdr:colOff>
      <xdr:row>76</xdr:row>
      <xdr:rowOff>82061</xdr:rowOff>
    </xdr:to>
    <xdr:graphicFrame macro="">
      <xdr:nvGraphicFramePr>
        <xdr:cNvPr id="9" name="Chart 8">
          <a:extLst>
            <a:ext uri="{FF2B5EF4-FFF2-40B4-BE49-F238E27FC236}">
              <a16:creationId xmlns:a16="http://schemas.microsoft.com/office/drawing/2014/main" id="{2402B573-07B0-E889-31F6-591B11F56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21770</xdr:colOff>
      <xdr:row>22</xdr:row>
      <xdr:rowOff>195943</xdr:rowOff>
    </xdr:from>
    <xdr:to>
      <xdr:col>22</xdr:col>
      <xdr:colOff>402770</xdr:colOff>
      <xdr:row>41</xdr:row>
      <xdr:rowOff>137143</xdr:rowOff>
    </xdr:to>
    <xdr:graphicFrame macro="">
      <xdr:nvGraphicFramePr>
        <xdr:cNvPr id="3" name="Chart 2">
          <a:extLst>
            <a:ext uri="{FF2B5EF4-FFF2-40B4-BE49-F238E27FC236}">
              <a16:creationId xmlns:a16="http://schemas.microsoft.com/office/drawing/2014/main" id="{0C303EB8-E1F0-8CFA-93F4-7B4E63DCA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498231</xdr:colOff>
      <xdr:row>23</xdr:row>
      <xdr:rowOff>19538</xdr:rowOff>
    </xdr:from>
    <xdr:to>
      <xdr:col>10</xdr:col>
      <xdr:colOff>708270</xdr:colOff>
      <xdr:row>32</xdr:row>
      <xdr:rowOff>62522</xdr:rowOff>
    </xdr:to>
    <xdr:graphicFrame macro="">
      <xdr:nvGraphicFramePr>
        <xdr:cNvPr id="4" name="Chart 3">
          <a:extLst>
            <a:ext uri="{FF2B5EF4-FFF2-40B4-BE49-F238E27FC236}">
              <a16:creationId xmlns:a16="http://schemas.microsoft.com/office/drawing/2014/main" id="{B39FD50C-F5F7-4F43-0FB4-C1F7084C0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93771</xdr:colOff>
      <xdr:row>41</xdr:row>
      <xdr:rowOff>75865</xdr:rowOff>
    </xdr:from>
    <xdr:to>
      <xdr:col>10</xdr:col>
      <xdr:colOff>581287</xdr:colOff>
      <xdr:row>52</xdr:row>
      <xdr:rowOff>194763</xdr:rowOff>
    </xdr:to>
    <xdr:graphicFrame macro="">
      <xdr:nvGraphicFramePr>
        <xdr:cNvPr id="6" name="Chart 5">
          <a:extLst>
            <a:ext uri="{FF2B5EF4-FFF2-40B4-BE49-F238E27FC236}">
              <a16:creationId xmlns:a16="http://schemas.microsoft.com/office/drawing/2014/main" id="{9396E6E4-CF93-0ABB-BBC0-312A1CB22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856075</xdr:colOff>
      <xdr:row>80</xdr:row>
      <xdr:rowOff>0</xdr:rowOff>
    </xdr:from>
    <xdr:to>
      <xdr:col>7</xdr:col>
      <xdr:colOff>893703</xdr:colOff>
      <xdr:row>87</xdr:row>
      <xdr:rowOff>150518</xdr:rowOff>
    </xdr:to>
    <xdr:graphicFrame macro="">
      <xdr:nvGraphicFramePr>
        <xdr:cNvPr id="10" name="Chart 9">
          <a:extLst>
            <a:ext uri="{FF2B5EF4-FFF2-40B4-BE49-F238E27FC236}">
              <a16:creationId xmlns:a16="http://schemas.microsoft.com/office/drawing/2014/main" id="{6F8C0A03-81D7-A784-48C5-5B8CA82A5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752592</xdr:colOff>
      <xdr:row>89</xdr:row>
      <xdr:rowOff>131703</xdr:rowOff>
    </xdr:from>
    <xdr:to>
      <xdr:col>8</xdr:col>
      <xdr:colOff>65852</xdr:colOff>
      <xdr:row>98</xdr:row>
      <xdr:rowOff>120413</xdr:rowOff>
    </xdr:to>
    <xdr:graphicFrame macro="">
      <xdr:nvGraphicFramePr>
        <xdr:cNvPr id="11" name="Chart 10">
          <a:extLst>
            <a:ext uri="{FF2B5EF4-FFF2-40B4-BE49-F238E27FC236}">
              <a16:creationId xmlns:a16="http://schemas.microsoft.com/office/drawing/2014/main" id="{9D5C2866-EB5A-379A-91C5-E8478A91E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630297</xdr:colOff>
      <xdr:row>101</xdr:row>
      <xdr:rowOff>103482</xdr:rowOff>
    </xdr:from>
    <xdr:to>
      <xdr:col>8</xdr:col>
      <xdr:colOff>183445</xdr:colOff>
      <xdr:row>111</xdr:row>
      <xdr:rowOff>45156</xdr:rowOff>
    </xdr:to>
    <xdr:graphicFrame macro="">
      <xdr:nvGraphicFramePr>
        <xdr:cNvPr id="12" name="Chart 11">
          <a:extLst>
            <a:ext uri="{FF2B5EF4-FFF2-40B4-BE49-F238E27FC236}">
              <a16:creationId xmlns:a16="http://schemas.microsoft.com/office/drawing/2014/main" id="{67D4FBAC-139C-234D-D537-5FD9250EA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270840</xdr:colOff>
      <xdr:row>8</xdr:row>
      <xdr:rowOff>106681</xdr:rowOff>
    </xdr:from>
    <xdr:to>
      <xdr:col>12</xdr:col>
      <xdr:colOff>293417</xdr:colOff>
      <xdr:row>16</xdr:row>
      <xdr:rowOff>84667</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2BFC3526-443E-E350-742D-1AD199356AD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885210" y="1724755"/>
              <a:ext cx="1828800" cy="1605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675357</xdr:colOff>
      <xdr:row>2</xdr:row>
      <xdr:rowOff>59643</xdr:rowOff>
    </xdr:from>
    <xdr:to>
      <xdr:col>14</xdr:col>
      <xdr:colOff>933121</xdr:colOff>
      <xdr:row>15</xdr:row>
      <xdr:rowOff>111737</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44217449-4257-70FF-9649-F35DD223618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095950" y="464162"/>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10805</xdr:colOff>
      <xdr:row>0</xdr:row>
      <xdr:rowOff>77492</xdr:rowOff>
    </xdr:from>
    <xdr:to>
      <xdr:col>25</xdr:col>
      <xdr:colOff>379133</xdr:colOff>
      <xdr:row>38</xdr:row>
      <xdr:rowOff>170668</xdr:rowOff>
    </xdr:to>
    <xdr:sp macro="" textlink="">
      <xdr:nvSpPr>
        <xdr:cNvPr id="3" name="Rectangle 2">
          <a:extLst>
            <a:ext uri="{FF2B5EF4-FFF2-40B4-BE49-F238E27FC236}">
              <a16:creationId xmlns:a16="http://schemas.microsoft.com/office/drawing/2014/main" id="{CFF67982-CC8E-51E5-1BC1-16917ABCCF39}"/>
            </a:ext>
          </a:extLst>
        </xdr:cNvPr>
        <xdr:cNvSpPr/>
      </xdr:nvSpPr>
      <xdr:spPr>
        <a:xfrm>
          <a:off x="2697178" y="77492"/>
          <a:ext cx="14471786" cy="745487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4</xdr:col>
      <xdr:colOff>197223</xdr:colOff>
      <xdr:row>1</xdr:row>
      <xdr:rowOff>10459</xdr:rowOff>
    </xdr:from>
    <xdr:to>
      <xdr:col>8</xdr:col>
      <xdr:colOff>298823</xdr:colOff>
      <xdr:row>37</xdr:row>
      <xdr:rowOff>123265</xdr:rowOff>
    </xdr:to>
    <xdr:sp macro="" textlink="">
      <xdr:nvSpPr>
        <xdr:cNvPr id="4" name="Rectangle: Diagonal Corners Rounded 3">
          <a:extLst>
            <a:ext uri="{FF2B5EF4-FFF2-40B4-BE49-F238E27FC236}">
              <a16:creationId xmlns:a16="http://schemas.microsoft.com/office/drawing/2014/main" id="{AC8A139C-E84B-49AA-3197-6F93BF8F18EB}"/>
            </a:ext>
          </a:extLst>
        </xdr:cNvPr>
        <xdr:cNvSpPr/>
      </xdr:nvSpPr>
      <xdr:spPr>
        <a:xfrm>
          <a:off x="2886635" y="212165"/>
          <a:ext cx="2791012" cy="7374218"/>
        </a:xfrm>
        <a:prstGeom prst="round2DiagRect">
          <a:avLst/>
        </a:prstGeom>
        <a:solidFill>
          <a:srgbClr val="FFD200"/>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4000" kern="1200">
              <a:solidFill>
                <a:sysClr val="windowText" lastClr="000000"/>
              </a:solidFill>
              <a:latin typeface="Segoe UI Black" panose="020B0A02040204020203" pitchFamily="34" charset="0"/>
              <a:ea typeface="Segoe UI Black" panose="020B0A02040204020203" pitchFamily="34" charset="0"/>
            </a:rPr>
            <a:t>  Blink</a:t>
          </a:r>
          <a:r>
            <a:rPr lang="en-IN" sz="4000" kern="12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8</xdr:col>
      <xdr:colOff>572997</xdr:colOff>
      <xdr:row>1</xdr:row>
      <xdr:rowOff>1</xdr:rowOff>
    </xdr:from>
    <xdr:to>
      <xdr:col>12</xdr:col>
      <xdr:colOff>268944</xdr:colOff>
      <xdr:row>5</xdr:row>
      <xdr:rowOff>190501</xdr:rowOff>
    </xdr:to>
    <xdr:sp macro="" textlink="">
      <xdr:nvSpPr>
        <xdr:cNvPr id="9" name="Rectangle: Rounded Corners 8">
          <a:extLst>
            <a:ext uri="{FF2B5EF4-FFF2-40B4-BE49-F238E27FC236}">
              <a16:creationId xmlns:a16="http://schemas.microsoft.com/office/drawing/2014/main" id="{C41B5281-F972-1761-C733-F14B18502626}"/>
            </a:ext>
          </a:extLst>
        </xdr:cNvPr>
        <xdr:cNvSpPr/>
      </xdr:nvSpPr>
      <xdr:spPr>
        <a:xfrm>
          <a:off x="5951821" y="201707"/>
          <a:ext cx="2385358" cy="997323"/>
        </a:xfrm>
        <a:prstGeom prst="roundRect">
          <a:avLst/>
        </a:prstGeom>
        <a:gradFill flip="none" rotWithShape="1">
          <a:gsLst>
            <a:gs pos="0">
              <a:schemeClr val="bg1">
                <a:lumMod val="95000"/>
              </a:schemeClr>
            </a:gs>
            <a:gs pos="100000">
              <a:schemeClr val="accent1">
                <a:lumMod val="20000"/>
                <a:lumOff val="8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ln>
              <a:noFill/>
            </a:ln>
            <a:gradFill>
              <a:gsLst>
                <a:gs pos="0">
                  <a:schemeClr val="tx1">
                    <a:lumMod val="99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16</xdr:col>
      <xdr:colOff>297050</xdr:colOff>
      <xdr:row>0</xdr:row>
      <xdr:rowOff>149412</xdr:rowOff>
    </xdr:from>
    <xdr:to>
      <xdr:col>25</xdr:col>
      <xdr:colOff>156882</xdr:colOff>
      <xdr:row>38</xdr:row>
      <xdr:rowOff>51660</xdr:rowOff>
    </xdr:to>
    <xdr:sp macro="" textlink="">
      <xdr:nvSpPr>
        <xdr:cNvPr id="13" name="Rectangle: Rounded Corners 12">
          <a:extLst>
            <a:ext uri="{FF2B5EF4-FFF2-40B4-BE49-F238E27FC236}">
              <a16:creationId xmlns:a16="http://schemas.microsoft.com/office/drawing/2014/main" id="{92CE53A8-7B51-4050-AA3D-20F601852F42}"/>
            </a:ext>
          </a:extLst>
        </xdr:cNvPr>
        <xdr:cNvSpPr/>
      </xdr:nvSpPr>
      <xdr:spPr>
        <a:xfrm>
          <a:off x="11042542" y="149412"/>
          <a:ext cx="5904171" cy="7263943"/>
        </a:xfrm>
        <a:prstGeom prst="roundRect">
          <a:avLst/>
        </a:prstGeom>
        <a:gradFill>
          <a:gsLst>
            <a:gs pos="0">
              <a:schemeClr val="bg1">
                <a:lumMod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12</xdr:col>
      <xdr:colOff>422837</xdr:colOff>
      <xdr:row>6</xdr:row>
      <xdr:rowOff>29135</xdr:rowOff>
    </xdr:from>
    <xdr:to>
      <xdr:col>16</xdr:col>
      <xdr:colOff>118783</xdr:colOff>
      <xdr:row>11</xdr:row>
      <xdr:rowOff>17928</xdr:rowOff>
    </xdr:to>
    <xdr:sp macro="" textlink="">
      <xdr:nvSpPr>
        <xdr:cNvPr id="14" name="Rectangle: Rounded Corners 13">
          <a:extLst>
            <a:ext uri="{FF2B5EF4-FFF2-40B4-BE49-F238E27FC236}">
              <a16:creationId xmlns:a16="http://schemas.microsoft.com/office/drawing/2014/main" id="{A2782DF5-CF49-4026-97E8-E5A67C376DD3}"/>
            </a:ext>
          </a:extLst>
        </xdr:cNvPr>
        <xdr:cNvSpPr/>
      </xdr:nvSpPr>
      <xdr:spPr>
        <a:xfrm>
          <a:off x="8491072" y="1239370"/>
          <a:ext cx="2385358" cy="997323"/>
        </a:xfrm>
        <a:prstGeom prst="roundRect">
          <a:avLst/>
        </a:prstGeom>
        <a:gradFill>
          <a:gsLst>
            <a:gs pos="0">
              <a:schemeClr val="tx1">
                <a:lumMod val="95000"/>
                <a:lumOff val="5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8</xdr:col>
      <xdr:colOff>605118</xdr:colOff>
      <xdr:row>6</xdr:row>
      <xdr:rowOff>76947</xdr:rowOff>
    </xdr:from>
    <xdr:to>
      <xdr:col>12</xdr:col>
      <xdr:colOff>301065</xdr:colOff>
      <xdr:row>11</xdr:row>
      <xdr:rowOff>65740</xdr:rowOff>
    </xdr:to>
    <xdr:sp macro="" textlink="">
      <xdr:nvSpPr>
        <xdr:cNvPr id="15" name="Rectangle: Rounded Corners 14">
          <a:extLst>
            <a:ext uri="{FF2B5EF4-FFF2-40B4-BE49-F238E27FC236}">
              <a16:creationId xmlns:a16="http://schemas.microsoft.com/office/drawing/2014/main" id="{4EF3A91F-F06D-4828-832F-E0D1D2B09757}"/>
            </a:ext>
          </a:extLst>
        </xdr:cNvPr>
        <xdr:cNvSpPr/>
      </xdr:nvSpPr>
      <xdr:spPr>
        <a:xfrm>
          <a:off x="5983942" y="1287182"/>
          <a:ext cx="2385358" cy="997323"/>
        </a:xfrm>
        <a:prstGeom prst="roundRect">
          <a:avLst/>
        </a:prstGeom>
        <a:gradFill>
          <a:gsLst>
            <a:gs pos="0">
              <a:schemeClr val="tx1">
                <a:lumMod val="95000"/>
                <a:lumOff val="5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gradFill>
              <a:gsLst>
                <a:gs pos="0">
                  <a:schemeClr val="bg1">
                    <a:lumMod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12</xdr:col>
      <xdr:colOff>469414</xdr:colOff>
      <xdr:row>0</xdr:row>
      <xdr:rowOff>188259</xdr:rowOff>
    </xdr:from>
    <xdr:to>
      <xdr:col>16</xdr:col>
      <xdr:colOff>165360</xdr:colOff>
      <xdr:row>5</xdr:row>
      <xdr:rowOff>177053</xdr:rowOff>
    </xdr:to>
    <xdr:sp macro="" textlink="">
      <xdr:nvSpPr>
        <xdr:cNvPr id="16" name="Rectangle: Rounded Corners 15">
          <a:extLst>
            <a:ext uri="{FF2B5EF4-FFF2-40B4-BE49-F238E27FC236}">
              <a16:creationId xmlns:a16="http://schemas.microsoft.com/office/drawing/2014/main" id="{C587C935-CD2F-4146-B81F-E1B28E22A620}"/>
            </a:ext>
          </a:extLst>
        </xdr:cNvPr>
        <xdr:cNvSpPr/>
      </xdr:nvSpPr>
      <xdr:spPr>
        <a:xfrm>
          <a:off x="8553240" y="188259"/>
          <a:ext cx="2390555" cy="982707"/>
        </a:xfrm>
        <a:prstGeom prst="roundRect">
          <a:avLst/>
        </a:prstGeom>
        <a:gradFill>
          <a:gsLst>
            <a:gs pos="0">
              <a:schemeClr val="tx1">
                <a:lumMod val="95000"/>
                <a:lumOff val="5000"/>
              </a:schemeClr>
            </a:gs>
            <a:gs pos="100000">
              <a:schemeClr val="accent1">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gradFill>
              <a:gsLst>
                <a:gs pos="0">
                  <a:schemeClr val="bg1">
                    <a:lumMod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8</xdr:col>
      <xdr:colOff>457414</xdr:colOff>
      <xdr:row>11</xdr:row>
      <xdr:rowOff>179295</xdr:rowOff>
    </xdr:from>
    <xdr:to>
      <xdr:col>16</xdr:col>
      <xdr:colOff>167897</xdr:colOff>
      <xdr:row>38</xdr:row>
      <xdr:rowOff>64576</xdr:rowOff>
    </xdr:to>
    <xdr:sp macro="" textlink="">
      <xdr:nvSpPr>
        <xdr:cNvPr id="17" name="Rectangle: Rounded Corners 16">
          <a:extLst>
            <a:ext uri="{FF2B5EF4-FFF2-40B4-BE49-F238E27FC236}">
              <a16:creationId xmlns:a16="http://schemas.microsoft.com/office/drawing/2014/main" id="{B78748B2-5C9C-3526-5571-DE128088B5B7}"/>
            </a:ext>
          </a:extLst>
        </xdr:cNvPr>
        <xdr:cNvSpPr/>
      </xdr:nvSpPr>
      <xdr:spPr>
        <a:xfrm>
          <a:off x="5830160" y="2310312"/>
          <a:ext cx="5083229" cy="5115959"/>
        </a:xfrm>
        <a:prstGeom prst="roundRect">
          <a:avLst/>
        </a:prstGeom>
        <a:gradFill>
          <a:gsLst>
            <a:gs pos="0">
              <a:schemeClr val="bg1">
                <a:lumMod val="95000"/>
              </a:schemeClr>
            </a:gs>
            <a:gs pos="100000">
              <a:schemeClr val="accent1">
                <a:lumMod val="40000"/>
                <a:lumOff val="60000"/>
              </a:schemeClr>
            </a:gs>
            <a:gs pos="100000">
              <a:schemeClr val="accent6">
                <a:lumMod val="40000"/>
                <a:lumOff val="60000"/>
              </a:schemeClr>
            </a:gs>
            <a:gs pos="100000">
              <a:schemeClr val="accent6">
                <a:lumMod val="20000"/>
                <a:lumOff val="8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12</xdr:col>
      <xdr:colOff>139700</xdr:colOff>
      <xdr:row>13</xdr:row>
      <xdr:rowOff>90393</xdr:rowOff>
    </xdr:from>
    <xdr:to>
      <xdr:col>12</xdr:col>
      <xdr:colOff>162112</xdr:colOff>
      <xdr:row>36</xdr:row>
      <xdr:rowOff>136712</xdr:rowOff>
    </xdr:to>
    <xdr:cxnSp macro="">
      <xdr:nvCxnSpPr>
        <xdr:cNvPr id="19" name="Straight Connector 18">
          <a:extLst>
            <a:ext uri="{FF2B5EF4-FFF2-40B4-BE49-F238E27FC236}">
              <a16:creationId xmlns:a16="http://schemas.microsoft.com/office/drawing/2014/main" id="{D1000CB7-7C1E-D2F7-156B-FF0C6E25E09E}"/>
            </a:ext>
          </a:extLst>
        </xdr:cNvPr>
        <xdr:cNvCxnSpPr/>
      </xdr:nvCxnSpPr>
      <xdr:spPr>
        <a:xfrm>
          <a:off x="8216900" y="2731993"/>
          <a:ext cx="22412" cy="4719919"/>
        </a:xfrm>
        <a:prstGeom prst="line">
          <a:avLst/>
        </a:prstGeom>
        <a:ln>
          <a:solidFill>
            <a:schemeClr val="accent1">
              <a:lumMod val="20000"/>
              <a:lumOff val="80000"/>
            </a:schemeClr>
          </a:solidFill>
        </a:ln>
        <a:effectLst>
          <a:outerShdw blurRad="50800" dist="38100" algn="l" rotWithShape="0">
            <a:schemeClr val="accent1">
              <a:lumMod val="20000"/>
              <a:lumOff val="80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534148</xdr:colOff>
      <xdr:row>24</xdr:row>
      <xdr:rowOff>126254</xdr:rowOff>
    </xdr:from>
    <xdr:to>
      <xdr:col>12</xdr:col>
      <xdr:colOff>29136</xdr:colOff>
      <xdr:row>24</xdr:row>
      <xdr:rowOff>137460</xdr:rowOff>
    </xdr:to>
    <xdr:cxnSp macro="">
      <xdr:nvCxnSpPr>
        <xdr:cNvPr id="25" name="Straight Connector 24">
          <a:extLst>
            <a:ext uri="{FF2B5EF4-FFF2-40B4-BE49-F238E27FC236}">
              <a16:creationId xmlns:a16="http://schemas.microsoft.com/office/drawing/2014/main" id="{D3014383-19E1-D0DE-292B-C9055CD53CC2}"/>
            </a:ext>
          </a:extLst>
        </xdr:cNvPr>
        <xdr:cNvCxnSpPr/>
      </xdr:nvCxnSpPr>
      <xdr:spPr>
        <a:xfrm flipV="1">
          <a:off x="5918948" y="5003054"/>
          <a:ext cx="2187388" cy="11206"/>
        </a:xfrm>
        <a:prstGeom prst="line">
          <a:avLst/>
        </a:prstGeom>
        <a:ln>
          <a:solidFill>
            <a:schemeClr val="accent1">
              <a:lumMod val="20000"/>
              <a:lumOff val="80000"/>
            </a:schemeClr>
          </a:solidFill>
        </a:ln>
        <a:effectLst>
          <a:outerShdw blurRad="50800" dist="38100" dir="5400000" algn="t" rotWithShape="0">
            <a:schemeClr val="accent1">
              <a:lumMod val="20000"/>
              <a:lumOff val="80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571499</xdr:colOff>
      <xdr:row>4</xdr:row>
      <xdr:rowOff>156882</xdr:rowOff>
    </xdr:from>
    <xdr:ext cx="1985993" cy="300147"/>
    <xdr:sp macro="" textlink="">
      <xdr:nvSpPr>
        <xdr:cNvPr id="2" name="TextBox 1">
          <a:extLst>
            <a:ext uri="{FF2B5EF4-FFF2-40B4-BE49-F238E27FC236}">
              <a16:creationId xmlns:a16="http://schemas.microsoft.com/office/drawing/2014/main" id="{2571428C-D41E-B537-AD42-D476A520DAB2}"/>
            </a:ext>
          </a:extLst>
        </xdr:cNvPr>
        <xdr:cNvSpPr txBox="1"/>
      </xdr:nvSpPr>
      <xdr:spPr>
        <a:xfrm>
          <a:off x="3260911" y="963706"/>
          <a:ext cx="1985993" cy="3001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kern="1200">
              <a:latin typeface="Segoe UI Black" panose="020B0A02040204020203" pitchFamily="34" charset="0"/>
              <a:ea typeface="Segoe UI Black" panose="020B0A02040204020203" pitchFamily="34" charset="0"/>
            </a:rPr>
            <a:t>India's</a:t>
          </a:r>
          <a:r>
            <a:rPr lang="en-IN" sz="1200" kern="1200" baseline="0">
              <a:latin typeface="Segoe UI Black" panose="020B0A02040204020203" pitchFamily="34" charset="0"/>
              <a:ea typeface="Segoe UI Black" panose="020B0A02040204020203" pitchFamily="34" charset="0"/>
            </a:rPr>
            <a:t> Last Minute App</a:t>
          </a:r>
          <a:endParaRPr lang="en-IN" sz="1200" kern="1200">
            <a:latin typeface="Segoe UI Black" panose="020B0A02040204020203" pitchFamily="34" charset="0"/>
            <a:ea typeface="Segoe UI Black" panose="020B0A02040204020203" pitchFamily="34" charset="0"/>
          </a:endParaRPr>
        </a:p>
      </xdr:txBody>
    </xdr:sp>
    <xdr:clientData/>
  </xdr:oneCellAnchor>
  <xdr:twoCellAnchor editAs="oneCell">
    <xdr:from>
      <xdr:col>4</xdr:col>
      <xdr:colOff>645458</xdr:colOff>
      <xdr:row>14</xdr:row>
      <xdr:rowOff>31749</xdr:rowOff>
    </xdr:from>
    <xdr:to>
      <xdr:col>7</xdr:col>
      <xdr:colOff>449861</xdr:colOff>
      <xdr:row>21</xdr:row>
      <xdr:rowOff>52917</xdr:rowOff>
    </xdr:to>
    <mc:AlternateContent xmlns:mc="http://schemas.openxmlformats.org/markup-compatibility/2006" xmlns:a14="http://schemas.microsoft.com/office/drawing/2010/main">
      <mc:Choice Requires="a14">
        <xdr:graphicFrame macro="">
          <xdr:nvGraphicFramePr>
            <xdr:cNvPr id="5" name="Outlet Size 1">
              <a:extLst>
                <a:ext uri="{FF2B5EF4-FFF2-40B4-BE49-F238E27FC236}">
                  <a16:creationId xmlns:a16="http://schemas.microsoft.com/office/drawing/2014/main" id="{73102BA8-42F9-4BDA-AFBE-A7C1FAF6C4E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340067" y="2814706"/>
              <a:ext cx="1825359" cy="1412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644836</xdr:colOff>
      <xdr:row>21</xdr:row>
      <xdr:rowOff>148167</xdr:rowOff>
    </xdr:from>
    <xdr:to>
      <xdr:col>7</xdr:col>
      <xdr:colOff>456577</xdr:colOff>
      <xdr:row>28</xdr:row>
      <xdr:rowOff>2282</xdr:rowOff>
    </xdr:to>
    <mc:AlternateContent xmlns:mc="http://schemas.openxmlformats.org/markup-compatibility/2006" xmlns:a14="http://schemas.microsoft.com/office/drawing/2010/main">
      <mc:Choice Requires="a14">
        <xdr:graphicFrame macro="">
          <xdr:nvGraphicFramePr>
            <xdr:cNvPr id="6" name="Outlet Location Type 1">
              <a:extLst>
                <a:ext uri="{FF2B5EF4-FFF2-40B4-BE49-F238E27FC236}">
                  <a16:creationId xmlns:a16="http://schemas.microsoft.com/office/drawing/2014/main" id="{F0900599-6277-494B-9766-BC041B3D0EB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339445" y="4322602"/>
              <a:ext cx="1832697" cy="1245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645457</xdr:colOff>
      <xdr:row>28</xdr:row>
      <xdr:rowOff>84667</xdr:rowOff>
    </xdr:from>
    <xdr:to>
      <xdr:col>7</xdr:col>
      <xdr:colOff>457198</xdr:colOff>
      <xdr:row>36</xdr:row>
      <xdr:rowOff>184710</xdr:rowOff>
    </xdr:to>
    <mc:AlternateContent xmlns:mc="http://schemas.openxmlformats.org/markup-compatibility/2006" xmlns:a14="http://schemas.microsoft.com/office/drawing/2010/main">
      <mc:Choice Requires="a14">
        <xdr:graphicFrame macro="">
          <xdr:nvGraphicFramePr>
            <xdr:cNvPr id="8" name="Item Type 1">
              <a:extLst>
                <a:ext uri="{FF2B5EF4-FFF2-40B4-BE49-F238E27FC236}">
                  <a16:creationId xmlns:a16="http://schemas.microsoft.com/office/drawing/2014/main" id="{ED79C045-1F5D-4BC7-9A78-0536CFAE3B9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334869" y="4578724"/>
              <a:ext cx="1828800" cy="2598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569466</xdr:colOff>
      <xdr:row>1</xdr:row>
      <xdr:rowOff>25263</xdr:rowOff>
    </xdr:from>
    <xdr:to>
      <xdr:col>11</xdr:col>
      <xdr:colOff>301156</xdr:colOff>
      <xdr:row>2</xdr:row>
      <xdr:rowOff>95023</xdr:rowOff>
    </xdr:to>
    <xdr:sp macro="" textlink="">
      <xdr:nvSpPr>
        <xdr:cNvPr id="11" name="TextBox 10">
          <a:extLst>
            <a:ext uri="{FF2B5EF4-FFF2-40B4-BE49-F238E27FC236}">
              <a16:creationId xmlns:a16="http://schemas.microsoft.com/office/drawing/2014/main" id="{9D8A4507-64EB-3514-CCE6-466F044F2275}"/>
            </a:ext>
          </a:extLst>
        </xdr:cNvPr>
        <xdr:cNvSpPr txBox="1"/>
      </xdr:nvSpPr>
      <xdr:spPr>
        <a:xfrm>
          <a:off x="6632336" y="224046"/>
          <a:ext cx="1078994" cy="268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kern="1200">
              <a:solidFill>
                <a:schemeClr val="tx1">
                  <a:lumMod val="95000"/>
                  <a:lumOff val="5000"/>
                </a:schemeClr>
              </a:solidFill>
              <a:latin typeface="Segoe UI Black" panose="020B0A02040204020203" pitchFamily="34" charset="0"/>
              <a:ea typeface="Segoe UI Black" panose="020B0A02040204020203" pitchFamily="34" charset="0"/>
            </a:rPr>
            <a:t>Total</a:t>
          </a:r>
          <a:r>
            <a:rPr lang="en-IN" sz="1200" kern="1200" baseline="0">
              <a:solidFill>
                <a:schemeClr val="tx1">
                  <a:lumMod val="95000"/>
                  <a:lumOff val="5000"/>
                </a:schemeClr>
              </a:solidFill>
              <a:latin typeface="Segoe UI Black" panose="020B0A02040204020203" pitchFamily="34" charset="0"/>
              <a:ea typeface="Segoe UI Black" panose="020B0A02040204020203" pitchFamily="34" charset="0"/>
            </a:rPr>
            <a:t> Sales</a:t>
          </a:r>
          <a:endParaRPr lang="en-IN" sz="1200" kern="1200">
            <a:solidFill>
              <a:schemeClr val="tx1">
                <a:lumMod val="95000"/>
                <a:lumOff val="5000"/>
              </a:schemeClr>
            </a:solidFill>
            <a:latin typeface="Segoe UI Black" panose="020B0A02040204020203" pitchFamily="34" charset="0"/>
            <a:ea typeface="Segoe UI Black" panose="020B0A02040204020203" pitchFamily="34" charset="0"/>
          </a:endParaRPr>
        </a:p>
      </xdr:txBody>
    </xdr:sp>
    <xdr:clientData/>
  </xdr:twoCellAnchor>
  <xdr:twoCellAnchor>
    <xdr:from>
      <xdr:col>9</xdr:col>
      <xdr:colOff>627531</xdr:colOff>
      <xdr:row>6</xdr:row>
      <xdr:rowOff>114299</xdr:rowOff>
    </xdr:from>
    <xdr:to>
      <xdr:col>11</xdr:col>
      <xdr:colOff>359221</xdr:colOff>
      <xdr:row>7</xdr:row>
      <xdr:rowOff>184059</xdr:rowOff>
    </xdr:to>
    <xdr:sp macro="" textlink="">
      <xdr:nvSpPr>
        <xdr:cNvPr id="12" name="TextBox 11">
          <a:extLst>
            <a:ext uri="{FF2B5EF4-FFF2-40B4-BE49-F238E27FC236}">
              <a16:creationId xmlns:a16="http://schemas.microsoft.com/office/drawing/2014/main" id="{1846915E-5263-4FF6-8397-95AB9A1CD0A1}"/>
            </a:ext>
          </a:extLst>
        </xdr:cNvPr>
        <xdr:cNvSpPr txBox="1"/>
      </xdr:nvSpPr>
      <xdr:spPr>
        <a:xfrm>
          <a:off x="6678707" y="1324534"/>
          <a:ext cx="1076396" cy="271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kern="1200" baseline="0">
              <a:solidFill>
                <a:schemeClr val="accent1">
                  <a:lumMod val="20000"/>
                  <a:lumOff val="80000"/>
                </a:schemeClr>
              </a:solidFill>
              <a:latin typeface="Segoe UI Black" panose="020B0A02040204020203" pitchFamily="34" charset="0"/>
              <a:ea typeface="Segoe UI Black" panose="020B0A02040204020203" pitchFamily="34" charset="0"/>
            </a:rPr>
            <a:t>Avg Rating</a:t>
          </a:r>
          <a:endParaRPr lang="en-IN" sz="1200" kern="1200">
            <a:solidFill>
              <a:schemeClr val="accent1">
                <a:lumMod val="20000"/>
                <a:lumOff val="80000"/>
              </a:schemeClr>
            </a:solidFill>
            <a:latin typeface="Segoe UI Black" panose="020B0A02040204020203" pitchFamily="34" charset="0"/>
            <a:ea typeface="Segoe UI Black" panose="020B0A02040204020203" pitchFamily="34" charset="0"/>
          </a:endParaRPr>
        </a:p>
      </xdr:txBody>
    </xdr:sp>
    <xdr:clientData/>
  </xdr:twoCellAnchor>
  <xdr:twoCellAnchor>
    <xdr:from>
      <xdr:col>9</xdr:col>
      <xdr:colOff>319743</xdr:colOff>
      <xdr:row>13</xdr:row>
      <xdr:rowOff>37353</xdr:rowOff>
    </xdr:from>
    <xdr:to>
      <xdr:col>11</xdr:col>
      <xdr:colOff>391459</xdr:colOff>
      <xdr:row>15</xdr:row>
      <xdr:rowOff>0</xdr:rowOff>
    </xdr:to>
    <xdr:sp macro="" textlink="">
      <xdr:nvSpPr>
        <xdr:cNvPr id="18" name="TextBox 17">
          <a:extLst>
            <a:ext uri="{FF2B5EF4-FFF2-40B4-BE49-F238E27FC236}">
              <a16:creationId xmlns:a16="http://schemas.microsoft.com/office/drawing/2014/main" id="{C9497236-B1B6-432C-98CD-7C89A83942A7}"/>
            </a:ext>
          </a:extLst>
        </xdr:cNvPr>
        <xdr:cNvSpPr txBox="1"/>
      </xdr:nvSpPr>
      <xdr:spPr>
        <a:xfrm>
          <a:off x="6364082" y="2555828"/>
          <a:ext cx="1414902" cy="350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kern="1200">
              <a:solidFill>
                <a:schemeClr val="tx1">
                  <a:lumMod val="95000"/>
                  <a:lumOff val="5000"/>
                </a:schemeClr>
              </a:solidFill>
              <a:latin typeface="Segoe UI Black" panose="020B0A02040204020203" pitchFamily="34" charset="0"/>
              <a:ea typeface="Segoe UI Black" panose="020B0A02040204020203" pitchFamily="34" charset="0"/>
            </a:rPr>
            <a:t>FAT</a:t>
          </a:r>
          <a:r>
            <a:rPr lang="en-IN" sz="1200" kern="1200" baseline="0">
              <a:solidFill>
                <a:schemeClr val="bg1"/>
              </a:solidFill>
              <a:latin typeface="Segoe UI Black" panose="020B0A02040204020203" pitchFamily="34" charset="0"/>
              <a:ea typeface="Segoe UI Black" panose="020B0A02040204020203" pitchFamily="34" charset="0"/>
            </a:rPr>
            <a:t> </a:t>
          </a:r>
          <a:r>
            <a:rPr lang="en-IN" sz="1200" kern="1200" baseline="0">
              <a:solidFill>
                <a:schemeClr val="tx1">
                  <a:lumMod val="95000"/>
                  <a:lumOff val="5000"/>
                </a:schemeClr>
              </a:solidFill>
              <a:latin typeface="Segoe UI Black" panose="020B0A02040204020203" pitchFamily="34" charset="0"/>
              <a:ea typeface="Segoe UI Black" panose="020B0A02040204020203" pitchFamily="34" charset="0"/>
            </a:rPr>
            <a:t>CONTENT</a:t>
          </a:r>
          <a:endParaRPr lang="en-IN" sz="1200" kern="1200">
            <a:solidFill>
              <a:schemeClr val="tx1">
                <a:lumMod val="95000"/>
                <a:lumOff val="5000"/>
              </a:schemeClr>
            </a:solidFill>
            <a:latin typeface="Segoe UI Black" panose="020B0A02040204020203" pitchFamily="34" charset="0"/>
            <a:ea typeface="Segoe UI Black" panose="020B0A02040204020203" pitchFamily="34" charset="0"/>
          </a:endParaRPr>
        </a:p>
      </xdr:txBody>
    </xdr:sp>
    <xdr:clientData/>
  </xdr:twoCellAnchor>
  <xdr:twoCellAnchor>
    <xdr:from>
      <xdr:col>13</xdr:col>
      <xdr:colOff>364564</xdr:colOff>
      <xdr:row>6</xdr:row>
      <xdr:rowOff>97864</xdr:rowOff>
    </xdr:from>
    <xdr:to>
      <xdr:col>15</xdr:col>
      <xdr:colOff>239059</xdr:colOff>
      <xdr:row>7</xdr:row>
      <xdr:rowOff>167624</xdr:rowOff>
    </xdr:to>
    <xdr:sp macro="" textlink="">
      <xdr:nvSpPr>
        <xdr:cNvPr id="20" name="TextBox 19">
          <a:extLst>
            <a:ext uri="{FF2B5EF4-FFF2-40B4-BE49-F238E27FC236}">
              <a16:creationId xmlns:a16="http://schemas.microsoft.com/office/drawing/2014/main" id="{5EA63010-A4D8-48A5-BA1D-4845150545A7}"/>
            </a:ext>
          </a:extLst>
        </xdr:cNvPr>
        <xdr:cNvSpPr txBox="1"/>
      </xdr:nvSpPr>
      <xdr:spPr>
        <a:xfrm>
          <a:off x="9105152" y="1308099"/>
          <a:ext cx="1219201" cy="271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kern="1200">
              <a:solidFill>
                <a:schemeClr val="accent1">
                  <a:lumMod val="20000"/>
                  <a:lumOff val="80000"/>
                </a:schemeClr>
              </a:solidFill>
              <a:latin typeface="Segoe UI Black" panose="020B0A02040204020203" pitchFamily="34" charset="0"/>
              <a:ea typeface="Segoe UI Black" panose="020B0A02040204020203" pitchFamily="34" charset="0"/>
            </a:rPr>
            <a:t>Count</a:t>
          </a:r>
          <a:r>
            <a:rPr lang="en-IN" sz="1200" kern="1200" baseline="0">
              <a:solidFill>
                <a:schemeClr val="accent1">
                  <a:lumMod val="20000"/>
                  <a:lumOff val="80000"/>
                </a:schemeClr>
              </a:solidFill>
              <a:latin typeface="Segoe UI Black" panose="020B0A02040204020203" pitchFamily="34" charset="0"/>
              <a:ea typeface="Segoe UI Black" panose="020B0A02040204020203" pitchFamily="34" charset="0"/>
            </a:rPr>
            <a:t> SL.No</a:t>
          </a:r>
          <a:endParaRPr lang="en-IN" sz="1200" kern="1200">
            <a:solidFill>
              <a:schemeClr val="accent1">
                <a:lumMod val="20000"/>
                <a:lumOff val="80000"/>
              </a:schemeClr>
            </a:solidFill>
            <a:latin typeface="Segoe UI Black" panose="020B0A02040204020203" pitchFamily="34" charset="0"/>
            <a:ea typeface="Segoe UI Black" panose="020B0A02040204020203" pitchFamily="34" charset="0"/>
          </a:endParaRPr>
        </a:p>
      </xdr:txBody>
    </xdr:sp>
    <xdr:clientData/>
  </xdr:twoCellAnchor>
  <xdr:twoCellAnchor>
    <xdr:from>
      <xdr:col>13</xdr:col>
      <xdr:colOff>382495</xdr:colOff>
      <xdr:row>1</xdr:row>
      <xdr:rowOff>48558</xdr:rowOff>
    </xdr:from>
    <xdr:to>
      <xdr:col>15</xdr:col>
      <xdr:colOff>114185</xdr:colOff>
      <xdr:row>2</xdr:row>
      <xdr:rowOff>118318</xdr:rowOff>
    </xdr:to>
    <xdr:sp macro="" textlink="">
      <xdr:nvSpPr>
        <xdr:cNvPr id="21" name="TextBox 20">
          <a:extLst>
            <a:ext uri="{FF2B5EF4-FFF2-40B4-BE49-F238E27FC236}">
              <a16:creationId xmlns:a16="http://schemas.microsoft.com/office/drawing/2014/main" id="{582CF8C1-2C1F-4D15-AA9B-48236E149B93}"/>
            </a:ext>
          </a:extLst>
        </xdr:cNvPr>
        <xdr:cNvSpPr txBox="1"/>
      </xdr:nvSpPr>
      <xdr:spPr>
        <a:xfrm>
          <a:off x="9123083" y="250264"/>
          <a:ext cx="1076396" cy="271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kern="1200" baseline="0">
              <a:solidFill>
                <a:schemeClr val="accent1">
                  <a:lumMod val="20000"/>
                  <a:lumOff val="80000"/>
                </a:schemeClr>
              </a:solidFill>
              <a:latin typeface="Segoe UI Black" panose="020B0A02040204020203" pitchFamily="34" charset="0"/>
              <a:ea typeface="Segoe UI Black" panose="020B0A02040204020203" pitchFamily="34" charset="0"/>
            </a:rPr>
            <a:t>Avg Sales</a:t>
          </a:r>
          <a:endParaRPr lang="en-IN" sz="1200" kern="1200">
            <a:solidFill>
              <a:schemeClr val="accent1">
                <a:lumMod val="20000"/>
                <a:lumOff val="80000"/>
              </a:schemeClr>
            </a:solidFill>
            <a:latin typeface="Segoe UI Black" panose="020B0A02040204020203" pitchFamily="34" charset="0"/>
            <a:ea typeface="Segoe UI Black" panose="020B0A02040204020203" pitchFamily="34" charset="0"/>
          </a:endParaRPr>
        </a:p>
      </xdr:txBody>
    </xdr:sp>
    <xdr:clientData/>
  </xdr:twoCellAnchor>
  <xdr:twoCellAnchor>
    <xdr:from>
      <xdr:col>13</xdr:col>
      <xdr:colOff>243542</xdr:colOff>
      <xdr:row>12</xdr:row>
      <xdr:rowOff>177800</xdr:rowOff>
    </xdr:from>
    <xdr:to>
      <xdr:col>14</xdr:col>
      <xdr:colOff>647585</xdr:colOff>
      <xdr:row>14</xdr:row>
      <xdr:rowOff>44360</xdr:rowOff>
    </xdr:to>
    <xdr:sp macro="" textlink="">
      <xdr:nvSpPr>
        <xdr:cNvPr id="22" name="TextBox 21">
          <a:extLst>
            <a:ext uri="{FF2B5EF4-FFF2-40B4-BE49-F238E27FC236}">
              <a16:creationId xmlns:a16="http://schemas.microsoft.com/office/drawing/2014/main" id="{6AD275DB-B827-492D-A5A7-F2BB805D38E5}"/>
            </a:ext>
          </a:extLst>
        </xdr:cNvPr>
        <xdr:cNvSpPr txBox="1"/>
      </xdr:nvSpPr>
      <xdr:spPr>
        <a:xfrm>
          <a:off x="8993842" y="2616200"/>
          <a:ext cx="1077143" cy="27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kern="1200">
              <a:latin typeface="Segoe UI Black" panose="020B0A02040204020203" pitchFamily="34" charset="0"/>
              <a:ea typeface="Segoe UI Black" panose="020B0A02040204020203" pitchFamily="34" charset="0"/>
            </a:rPr>
            <a:t>ITEM</a:t>
          </a:r>
          <a:r>
            <a:rPr lang="en-IN" sz="1200" kern="1200" baseline="0">
              <a:latin typeface="Segoe UI Black" panose="020B0A02040204020203" pitchFamily="34" charset="0"/>
              <a:ea typeface="Segoe UI Black" panose="020B0A02040204020203" pitchFamily="34" charset="0"/>
            </a:rPr>
            <a:t> TYPE</a:t>
          </a:r>
          <a:endParaRPr lang="en-IN" sz="1200" kern="1200">
            <a:latin typeface="Segoe UI Black" panose="020B0A02040204020203" pitchFamily="34" charset="0"/>
            <a:ea typeface="Segoe UI Black" panose="020B0A02040204020203" pitchFamily="34" charset="0"/>
          </a:endParaRPr>
        </a:p>
      </xdr:txBody>
    </xdr:sp>
    <xdr:clientData/>
  </xdr:twoCellAnchor>
  <xdr:twoCellAnchor>
    <xdr:from>
      <xdr:col>9</xdr:col>
      <xdr:colOff>222624</xdr:colOff>
      <xdr:row>25</xdr:row>
      <xdr:rowOff>100105</xdr:rowOff>
    </xdr:from>
    <xdr:to>
      <xdr:col>11</xdr:col>
      <xdr:colOff>348877</xdr:colOff>
      <xdr:row>26</xdr:row>
      <xdr:rowOff>169865</xdr:rowOff>
    </xdr:to>
    <xdr:sp macro="" textlink="">
      <xdr:nvSpPr>
        <xdr:cNvPr id="23" name="TextBox 22">
          <a:extLst>
            <a:ext uri="{FF2B5EF4-FFF2-40B4-BE49-F238E27FC236}">
              <a16:creationId xmlns:a16="http://schemas.microsoft.com/office/drawing/2014/main" id="{FC3C25F6-B0D8-4F5A-8EFB-7FFC9CF5E54B}"/>
            </a:ext>
          </a:extLst>
        </xdr:cNvPr>
        <xdr:cNvSpPr txBox="1"/>
      </xdr:nvSpPr>
      <xdr:spPr>
        <a:xfrm>
          <a:off x="6280524" y="5180105"/>
          <a:ext cx="1472453" cy="27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kern="1200">
              <a:solidFill>
                <a:schemeClr val="tx1">
                  <a:lumMod val="95000"/>
                  <a:lumOff val="5000"/>
                </a:schemeClr>
              </a:solidFill>
              <a:latin typeface="Segoe UI Black" panose="020B0A02040204020203" pitchFamily="34" charset="0"/>
              <a:ea typeface="Segoe UI Black" panose="020B0A02040204020203" pitchFamily="34" charset="0"/>
            </a:rPr>
            <a:t>FAT</a:t>
          </a:r>
          <a:r>
            <a:rPr lang="en-IN" sz="1200" kern="1200" baseline="0">
              <a:solidFill>
                <a:schemeClr val="tx1">
                  <a:lumMod val="95000"/>
                  <a:lumOff val="5000"/>
                </a:schemeClr>
              </a:solidFill>
              <a:latin typeface="Segoe UI Black" panose="020B0A02040204020203" pitchFamily="34" charset="0"/>
              <a:ea typeface="Segoe UI Black" panose="020B0A02040204020203" pitchFamily="34" charset="0"/>
            </a:rPr>
            <a:t> OUTLET</a:t>
          </a:r>
          <a:endParaRPr lang="en-IN" sz="1200" kern="1200">
            <a:solidFill>
              <a:schemeClr val="tx1">
                <a:lumMod val="95000"/>
                <a:lumOff val="5000"/>
              </a:schemeClr>
            </a:solidFill>
            <a:latin typeface="Segoe UI Black" panose="020B0A02040204020203" pitchFamily="34" charset="0"/>
            <a:ea typeface="Segoe UI Black" panose="020B0A02040204020203" pitchFamily="34" charset="0"/>
          </a:endParaRPr>
        </a:p>
      </xdr:txBody>
    </xdr:sp>
    <xdr:clientData/>
  </xdr:twoCellAnchor>
  <xdr:twoCellAnchor>
    <xdr:from>
      <xdr:col>19</xdr:col>
      <xdr:colOff>481854</xdr:colOff>
      <xdr:row>1</xdr:row>
      <xdr:rowOff>2988</xdr:rowOff>
    </xdr:from>
    <xdr:to>
      <xdr:col>21</xdr:col>
      <xdr:colOff>213544</xdr:colOff>
      <xdr:row>2</xdr:row>
      <xdr:rowOff>72748</xdr:rowOff>
    </xdr:to>
    <xdr:sp macro="" textlink="">
      <xdr:nvSpPr>
        <xdr:cNvPr id="24" name="TextBox 23">
          <a:extLst>
            <a:ext uri="{FF2B5EF4-FFF2-40B4-BE49-F238E27FC236}">
              <a16:creationId xmlns:a16="http://schemas.microsoft.com/office/drawing/2014/main" id="{1A5A7AD8-0AB1-40EC-96E5-A0A99510D6F3}"/>
            </a:ext>
          </a:extLst>
        </xdr:cNvPr>
        <xdr:cNvSpPr txBox="1"/>
      </xdr:nvSpPr>
      <xdr:spPr>
        <a:xfrm>
          <a:off x="13270754" y="206188"/>
          <a:ext cx="1077890" cy="27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kern="1200">
              <a:latin typeface="Segoe UI Black" panose="020B0A02040204020203" pitchFamily="34" charset="0"/>
              <a:ea typeface="Segoe UI Black" panose="020B0A02040204020203" pitchFamily="34" charset="0"/>
            </a:rPr>
            <a:t>Total</a:t>
          </a:r>
          <a:r>
            <a:rPr lang="en-IN" sz="1200" kern="1200" baseline="0">
              <a:latin typeface="Segoe UI Black" panose="020B0A02040204020203" pitchFamily="34" charset="0"/>
              <a:ea typeface="Segoe UI Black" panose="020B0A02040204020203" pitchFamily="34" charset="0"/>
            </a:rPr>
            <a:t> Sales</a:t>
          </a:r>
          <a:endParaRPr lang="en-IN" sz="1200" kern="1200">
            <a:latin typeface="Segoe UI Black" panose="020B0A02040204020203" pitchFamily="34" charset="0"/>
            <a:ea typeface="Segoe UI Black" panose="020B0A02040204020203" pitchFamily="34" charset="0"/>
          </a:endParaRPr>
        </a:p>
      </xdr:txBody>
    </xdr:sp>
    <xdr:clientData/>
  </xdr:twoCellAnchor>
  <xdr:twoCellAnchor>
    <xdr:from>
      <xdr:col>8</xdr:col>
      <xdr:colOff>485589</xdr:colOff>
      <xdr:row>15</xdr:row>
      <xdr:rowOff>22414</xdr:rowOff>
    </xdr:from>
    <xdr:to>
      <xdr:col>11</xdr:col>
      <xdr:colOff>665015</xdr:colOff>
      <xdr:row>22</xdr:row>
      <xdr:rowOff>124454</xdr:rowOff>
    </xdr:to>
    <xdr:graphicFrame macro="">
      <xdr:nvGraphicFramePr>
        <xdr:cNvPr id="27" name="Chart 26">
          <a:extLst>
            <a:ext uri="{FF2B5EF4-FFF2-40B4-BE49-F238E27FC236}">
              <a16:creationId xmlns:a16="http://schemas.microsoft.com/office/drawing/2014/main" id="{B1B2135B-3A36-4F57-A0D3-DA5E69AF8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266701</xdr:colOff>
      <xdr:row>14</xdr:row>
      <xdr:rowOff>88900</xdr:rowOff>
    </xdr:from>
    <xdr:to>
      <xdr:col>16</xdr:col>
      <xdr:colOff>127001</xdr:colOff>
      <xdr:row>36</xdr:row>
      <xdr:rowOff>126999</xdr:rowOff>
    </xdr:to>
    <xdr:graphicFrame macro="">
      <xdr:nvGraphicFramePr>
        <xdr:cNvPr id="28" name="Chart 27">
          <a:extLst>
            <a:ext uri="{FF2B5EF4-FFF2-40B4-BE49-F238E27FC236}">
              <a16:creationId xmlns:a16="http://schemas.microsoft.com/office/drawing/2014/main" id="{63EFA771-5044-4AAF-A143-2249DF523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495301</xdr:colOff>
      <xdr:row>27</xdr:row>
      <xdr:rowOff>0</xdr:rowOff>
    </xdr:from>
    <xdr:to>
      <xdr:col>11</xdr:col>
      <xdr:colOff>660401</xdr:colOff>
      <xdr:row>35</xdr:row>
      <xdr:rowOff>127001</xdr:rowOff>
    </xdr:to>
    <xdr:graphicFrame macro="">
      <xdr:nvGraphicFramePr>
        <xdr:cNvPr id="29" name="Chart 28">
          <a:extLst>
            <a:ext uri="{FF2B5EF4-FFF2-40B4-BE49-F238E27FC236}">
              <a16:creationId xmlns:a16="http://schemas.microsoft.com/office/drawing/2014/main" id="{BBD8D5CB-3334-4421-8EB9-D513EC83F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635000</xdr:colOff>
      <xdr:row>3</xdr:row>
      <xdr:rowOff>148167</xdr:rowOff>
    </xdr:from>
    <xdr:to>
      <xdr:col>24</xdr:col>
      <xdr:colOff>624418</xdr:colOff>
      <xdr:row>14</xdr:row>
      <xdr:rowOff>63500</xdr:rowOff>
    </xdr:to>
    <xdr:graphicFrame macro="">
      <xdr:nvGraphicFramePr>
        <xdr:cNvPr id="30" name="Chart 29">
          <a:extLst>
            <a:ext uri="{FF2B5EF4-FFF2-40B4-BE49-F238E27FC236}">
              <a16:creationId xmlns:a16="http://schemas.microsoft.com/office/drawing/2014/main" id="{F4C3E8C7-0067-4AEB-B272-A7684D348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461682</xdr:colOff>
      <xdr:row>25</xdr:row>
      <xdr:rowOff>80683</xdr:rowOff>
    </xdr:from>
    <xdr:to>
      <xdr:col>25</xdr:col>
      <xdr:colOff>29882</xdr:colOff>
      <xdr:row>25</xdr:row>
      <xdr:rowOff>80683</xdr:rowOff>
    </xdr:to>
    <xdr:cxnSp macro="">
      <xdr:nvCxnSpPr>
        <xdr:cNvPr id="32" name="Straight Connector 31">
          <a:extLst>
            <a:ext uri="{FF2B5EF4-FFF2-40B4-BE49-F238E27FC236}">
              <a16:creationId xmlns:a16="http://schemas.microsoft.com/office/drawing/2014/main" id="{1F059802-19DC-C434-C196-E3B505AAA74E}"/>
            </a:ext>
          </a:extLst>
        </xdr:cNvPr>
        <xdr:cNvCxnSpPr/>
      </xdr:nvCxnSpPr>
      <xdr:spPr>
        <a:xfrm>
          <a:off x="11219329" y="4936565"/>
          <a:ext cx="5619377" cy="0"/>
        </a:xfrm>
        <a:prstGeom prst="line">
          <a:avLst/>
        </a:prstGeom>
        <a:ln w="9525" cmpd="sng">
          <a:solidFill>
            <a:schemeClr val="tx1"/>
          </a:solidFill>
        </a:ln>
        <a:effectLst>
          <a:outerShdw blurRad="50800" dist="38100" dir="5400000" algn="t"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469900</xdr:colOff>
      <xdr:row>14</xdr:row>
      <xdr:rowOff>127000</xdr:rowOff>
    </xdr:from>
    <xdr:to>
      <xdr:col>25</xdr:col>
      <xdr:colOff>38100</xdr:colOff>
      <xdr:row>14</xdr:row>
      <xdr:rowOff>127000</xdr:rowOff>
    </xdr:to>
    <xdr:cxnSp macro="">
      <xdr:nvCxnSpPr>
        <xdr:cNvPr id="33" name="Straight Connector 32">
          <a:extLst>
            <a:ext uri="{FF2B5EF4-FFF2-40B4-BE49-F238E27FC236}">
              <a16:creationId xmlns:a16="http://schemas.microsoft.com/office/drawing/2014/main" id="{5AB95020-97EC-4953-9636-C3CFBD96AF49}"/>
            </a:ext>
          </a:extLst>
        </xdr:cNvPr>
        <xdr:cNvCxnSpPr/>
      </xdr:nvCxnSpPr>
      <xdr:spPr>
        <a:xfrm>
          <a:off x="11239500" y="2971800"/>
          <a:ext cx="5626100" cy="0"/>
        </a:xfrm>
        <a:prstGeom prst="line">
          <a:avLst/>
        </a:prstGeom>
        <a:ln w="9525" cmpd="sng">
          <a:solidFill>
            <a:schemeClr val="tx1"/>
          </a:solidFill>
        </a:ln>
        <a:effectLst>
          <a:outerShdw blurRad="50800" dist="38100" dir="5400000" algn="t"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152401</xdr:colOff>
      <xdr:row>15</xdr:row>
      <xdr:rowOff>76200</xdr:rowOff>
    </xdr:from>
    <xdr:to>
      <xdr:col>20</xdr:col>
      <xdr:colOff>215901</xdr:colOff>
      <xdr:row>25</xdr:row>
      <xdr:rowOff>127000</xdr:rowOff>
    </xdr:to>
    <xdr:graphicFrame macro="">
      <xdr:nvGraphicFramePr>
        <xdr:cNvPr id="34" name="Chart 33">
          <a:extLst>
            <a:ext uri="{FF2B5EF4-FFF2-40B4-BE49-F238E27FC236}">
              <a16:creationId xmlns:a16="http://schemas.microsoft.com/office/drawing/2014/main" id="{24F433FC-2E03-49EB-9C14-797BD23B2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279400</xdr:colOff>
      <xdr:row>16</xdr:row>
      <xdr:rowOff>114300</xdr:rowOff>
    </xdr:from>
    <xdr:to>
      <xdr:col>24</xdr:col>
      <xdr:colOff>473719</xdr:colOff>
      <xdr:row>23</xdr:row>
      <xdr:rowOff>141565</xdr:rowOff>
    </xdr:to>
    <xdr:graphicFrame macro="">
      <xdr:nvGraphicFramePr>
        <xdr:cNvPr id="36" name="Chart 35">
          <a:extLst>
            <a:ext uri="{FF2B5EF4-FFF2-40B4-BE49-F238E27FC236}">
              <a16:creationId xmlns:a16="http://schemas.microsoft.com/office/drawing/2014/main" id="{5A5DAB22-29A6-4C49-930B-93E72E700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493059</xdr:colOff>
      <xdr:row>26</xdr:row>
      <xdr:rowOff>59764</xdr:rowOff>
    </xdr:from>
    <xdr:to>
      <xdr:col>19</xdr:col>
      <xdr:colOff>418353</xdr:colOff>
      <xdr:row>35</xdr:row>
      <xdr:rowOff>56184</xdr:rowOff>
    </xdr:to>
    <xdr:graphicFrame macro="">
      <xdr:nvGraphicFramePr>
        <xdr:cNvPr id="37" name="Chart 36">
          <a:extLst>
            <a:ext uri="{FF2B5EF4-FFF2-40B4-BE49-F238E27FC236}">
              <a16:creationId xmlns:a16="http://schemas.microsoft.com/office/drawing/2014/main" id="{F0A61A2B-DAB1-4FEB-B3A0-3135C52E0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358588</xdr:colOff>
      <xdr:row>26</xdr:row>
      <xdr:rowOff>74707</xdr:rowOff>
    </xdr:from>
    <xdr:to>
      <xdr:col>22</xdr:col>
      <xdr:colOff>328706</xdr:colOff>
      <xdr:row>37</xdr:row>
      <xdr:rowOff>0</xdr:rowOff>
    </xdr:to>
    <xdr:graphicFrame macro="">
      <xdr:nvGraphicFramePr>
        <xdr:cNvPr id="38" name="Chart 37">
          <a:extLst>
            <a:ext uri="{FF2B5EF4-FFF2-40B4-BE49-F238E27FC236}">
              <a16:creationId xmlns:a16="http://schemas.microsoft.com/office/drawing/2014/main" id="{2C3E2A24-A858-4574-9465-07EC8682A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254000</xdr:colOff>
      <xdr:row>26</xdr:row>
      <xdr:rowOff>29882</xdr:rowOff>
    </xdr:from>
    <xdr:to>
      <xdr:col>24</xdr:col>
      <xdr:colOff>612588</xdr:colOff>
      <xdr:row>36</xdr:row>
      <xdr:rowOff>134470</xdr:rowOff>
    </xdr:to>
    <xdr:graphicFrame macro="">
      <xdr:nvGraphicFramePr>
        <xdr:cNvPr id="39" name="Chart 38">
          <a:extLst>
            <a:ext uri="{FF2B5EF4-FFF2-40B4-BE49-F238E27FC236}">
              <a16:creationId xmlns:a16="http://schemas.microsoft.com/office/drawing/2014/main" id="{FB5F584A-53A6-43DD-8804-67B067B16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518808</xdr:colOff>
      <xdr:row>3</xdr:row>
      <xdr:rowOff>72956</xdr:rowOff>
    </xdr:from>
    <xdr:to>
      <xdr:col>11</xdr:col>
      <xdr:colOff>381000</xdr:colOff>
      <xdr:row>4</xdr:row>
      <xdr:rowOff>186446</xdr:rowOff>
    </xdr:to>
    <xdr:sp macro="" textlink="Sheet2!B7">
      <xdr:nvSpPr>
        <xdr:cNvPr id="7" name="TextBox 6">
          <a:extLst>
            <a:ext uri="{FF2B5EF4-FFF2-40B4-BE49-F238E27FC236}">
              <a16:creationId xmlns:a16="http://schemas.microsoft.com/office/drawing/2014/main" id="{350B2659-F4B8-D34F-446F-2A87530FADE5}"/>
            </a:ext>
          </a:extLst>
        </xdr:cNvPr>
        <xdr:cNvSpPr txBox="1"/>
      </xdr:nvSpPr>
      <xdr:spPr>
        <a:xfrm>
          <a:off x="6574276" y="656616"/>
          <a:ext cx="1207852" cy="30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DD25C2A-0FE9-47E7-AE8A-DCC3AB5539AF}" type="TxLink">
            <a:rPr lang="en-US" sz="1200" b="0" i="0" u="none" strike="noStrike" kern="1200">
              <a:solidFill>
                <a:schemeClr val="tx1">
                  <a:lumMod val="95000"/>
                  <a:lumOff val="5000"/>
                </a:schemeClr>
              </a:solidFill>
              <a:latin typeface="Segoe UI Black" panose="020B0A02040204020203" pitchFamily="34" charset="0"/>
              <a:ea typeface="Segoe UI Black" panose="020B0A02040204020203" pitchFamily="34" charset="0"/>
              <a:cs typeface="Calibri"/>
            </a:rPr>
            <a:pPr/>
            <a:t>$1.20M</a:t>
          </a:fld>
          <a:endParaRPr lang="en-IN" sz="1100" b="0" kern="1200">
            <a:solidFill>
              <a:schemeClr val="tx1">
                <a:lumMod val="95000"/>
                <a:lumOff val="5000"/>
              </a:schemeClr>
            </a:solidFill>
            <a:latin typeface="Segoe UI Black" panose="020B0A02040204020203" pitchFamily="34" charset="0"/>
            <a:ea typeface="Segoe UI Black" panose="020B0A02040204020203" pitchFamily="34" charset="0"/>
          </a:endParaRPr>
        </a:p>
      </xdr:txBody>
    </xdr:sp>
    <xdr:clientData/>
  </xdr:twoCellAnchor>
  <xdr:twoCellAnchor>
    <xdr:from>
      <xdr:col>9</xdr:col>
      <xdr:colOff>369980</xdr:colOff>
      <xdr:row>8</xdr:row>
      <xdr:rowOff>139123</xdr:rowOff>
    </xdr:from>
    <xdr:to>
      <xdr:col>11</xdr:col>
      <xdr:colOff>232172</xdr:colOff>
      <xdr:row>10</xdr:row>
      <xdr:rowOff>58060</xdr:rowOff>
    </xdr:to>
    <xdr:sp macro="" textlink="Sheet2!C7">
      <xdr:nvSpPr>
        <xdr:cNvPr id="31" name="TextBox 30">
          <a:extLst>
            <a:ext uri="{FF2B5EF4-FFF2-40B4-BE49-F238E27FC236}">
              <a16:creationId xmlns:a16="http://schemas.microsoft.com/office/drawing/2014/main" id="{AA2A1273-6667-48F7-A499-6CE9896A9E00}"/>
            </a:ext>
          </a:extLst>
        </xdr:cNvPr>
        <xdr:cNvSpPr txBox="1"/>
      </xdr:nvSpPr>
      <xdr:spPr>
        <a:xfrm>
          <a:off x="6432850" y="1729384"/>
          <a:ext cx="1209496" cy="316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3EC711-5474-4B31-8297-2F28231B767D}" type="TxLink">
            <a:rPr lang="en-US" sz="1200" b="0" i="0" u="none" strike="noStrike" kern="1200">
              <a:solidFill>
                <a:srgbClr val="000000"/>
              </a:solidFill>
              <a:latin typeface="Segoe UI Black" panose="020B0A02040204020203" pitchFamily="34" charset="0"/>
              <a:ea typeface="Segoe UI Black" panose="020B0A02040204020203" pitchFamily="34" charset="0"/>
              <a:cs typeface="Calibri"/>
            </a:rPr>
            <a:pPr/>
            <a:t>4.0</a:t>
          </a:fld>
          <a:endParaRPr lang="en-IN" sz="1100" kern="1200">
            <a:latin typeface="Segoe UI Black" panose="020B0A02040204020203" pitchFamily="34" charset="0"/>
            <a:ea typeface="Segoe UI Black" panose="020B0A02040204020203" pitchFamily="34" charset="0"/>
          </a:endParaRPr>
        </a:p>
      </xdr:txBody>
    </xdr:sp>
    <xdr:clientData/>
  </xdr:twoCellAnchor>
  <xdr:twoCellAnchor>
    <xdr:from>
      <xdr:col>13</xdr:col>
      <xdr:colOff>337225</xdr:colOff>
      <xdr:row>8</xdr:row>
      <xdr:rowOff>85925</xdr:rowOff>
    </xdr:from>
    <xdr:to>
      <xdr:col>15</xdr:col>
      <xdr:colOff>199417</xdr:colOff>
      <xdr:row>10</xdr:row>
      <xdr:rowOff>4862</xdr:rowOff>
    </xdr:to>
    <xdr:sp macro="" textlink="Sheet2!E7">
      <xdr:nvSpPr>
        <xdr:cNvPr id="35" name="TextBox 34">
          <a:extLst>
            <a:ext uri="{FF2B5EF4-FFF2-40B4-BE49-F238E27FC236}">
              <a16:creationId xmlns:a16="http://schemas.microsoft.com/office/drawing/2014/main" id="{6DECD740-8C7C-414C-8DEA-0A4FB15C4FE8}"/>
            </a:ext>
          </a:extLst>
        </xdr:cNvPr>
        <xdr:cNvSpPr txBox="1"/>
      </xdr:nvSpPr>
      <xdr:spPr>
        <a:xfrm>
          <a:off x="9084012" y="1642351"/>
          <a:ext cx="1207852" cy="30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E22AA9-4D17-4372-85BF-F4A4B1CC09E9}" type="TxLink">
            <a:rPr lang="en-US" sz="1200" b="0" i="0" u="none" strike="noStrike" kern="1200">
              <a:solidFill>
                <a:srgbClr val="000000"/>
              </a:solidFill>
              <a:latin typeface="Segoe UI Black" panose="020B0A02040204020203" pitchFamily="34" charset="0"/>
              <a:ea typeface="Segoe UI Black" panose="020B0A02040204020203" pitchFamily="34" charset="0"/>
              <a:cs typeface="Calibri"/>
            </a:rPr>
            <a:pPr algn="ctr"/>
            <a:t>8523</a:t>
          </a:fld>
          <a:endParaRPr lang="en-IN" sz="1100" kern="1200">
            <a:latin typeface="Segoe UI Black" panose="020B0A02040204020203" pitchFamily="34" charset="0"/>
            <a:ea typeface="Segoe UI Black" panose="020B0A02040204020203" pitchFamily="34" charset="0"/>
          </a:endParaRPr>
        </a:p>
      </xdr:txBody>
    </xdr:sp>
    <xdr:clientData/>
  </xdr:twoCellAnchor>
  <xdr:twoCellAnchor>
    <xdr:from>
      <xdr:col>13</xdr:col>
      <xdr:colOff>278859</xdr:colOff>
      <xdr:row>3</xdr:row>
      <xdr:rowOff>19453</xdr:rowOff>
    </xdr:from>
    <xdr:to>
      <xdr:col>15</xdr:col>
      <xdr:colOff>141051</xdr:colOff>
      <xdr:row>4</xdr:row>
      <xdr:rowOff>132943</xdr:rowOff>
    </xdr:to>
    <xdr:sp macro="" textlink="Sheet2!D7">
      <xdr:nvSpPr>
        <xdr:cNvPr id="40" name="TextBox 39">
          <a:extLst>
            <a:ext uri="{FF2B5EF4-FFF2-40B4-BE49-F238E27FC236}">
              <a16:creationId xmlns:a16="http://schemas.microsoft.com/office/drawing/2014/main" id="{4D56D600-EB61-4BBC-B821-4DBF685A24E6}"/>
            </a:ext>
          </a:extLst>
        </xdr:cNvPr>
        <xdr:cNvSpPr txBox="1"/>
      </xdr:nvSpPr>
      <xdr:spPr>
        <a:xfrm>
          <a:off x="9025646" y="603113"/>
          <a:ext cx="1207852" cy="30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97F9E4-D449-45FA-AAD5-C0F548E0C75D}" type="TxLink">
            <a:rPr lang="en-US" sz="1200" b="0" i="0" u="none" strike="noStrike" kern="1200">
              <a:solidFill>
                <a:srgbClr val="000000"/>
              </a:solidFill>
              <a:latin typeface="Segoe UI Black" panose="020B0A02040204020203" pitchFamily="34" charset="0"/>
              <a:ea typeface="Segoe UI Black" panose="020B0A02040204020203" pitchFamily="34" charset="0"/>
              <a:cs typeface="Calibri"/>
            </a:rPr>
            <a:pPr algn="ctr"/>
            <a:t>140.99</a:t>
          </a:fld>
          <a:endParaRPr lang="en-IN" sz="1100" kern="1200">
            <a:latin typeface="Segoe UI Black" panose="020B0A02040204020203" pitchFamily="34" charset="0"/>
            <a:ea typeface="Segoe UI Black" panose="020B0A02040204020203" pitchFamily="34" charset="0"/>
          </a:endParaRPr>
        </a:p>
      </xdr:txBody>
    </xdr:sp>
    <xdr:clientData/>
  </xdr:twoCellAnchor>
  <xdr:twoCellAnchor>
    <xdr:from>
      <xdr:col>4</xdr:col>
      <xdr:colOff>592667</xdr:colOff>
      <xdr:row>6</xdr:row>
      <xdr:rowOff>179917</xdr:rowOff>
    </xdr:from>
    <xdr:to>
      <xdr:col>7</xdr:col>
      <xdr:colOff>402167</xdr:colOff>
      <xdr:row>13</xdr:row>
      <xdr:rowOff>95251</xdr:rowOff>
    </xdr:to>
    <xdr:sp macro="" textlink="">
      <xdr:nvSpPr>
        <xdr:cNvPr id="49" name="Rectangle: Rounded Corners 48">
          <a:extLst>
            <a:ext uri="{FF2B5EF4-FFF2-40B4-BE49-F238E27FC236}">
              <a16:creationId xmlns:a16="http://schemas.microsoft.com/office/drawing/2014/main" id="{31AFA9DC-52FC-E9F6-1262-7F598B624B89}"/>
            </a:ext>
          </a:extLst>
        </xdr:cNvPr>
        <xdr:cNvSpPr/>
      </xdr:nvSpPr>
      <xdr:spPr>
        <a:xfrm>
          <a:off x="3259667" y="1386417"/>
          <a:ext cx="1809750" cy="1322917"/>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oneCell">
    <xdr:from>
      <xdr:col>5</xdr:col>
      <xdr:colOff>243419</xdr:colOff>
      <xdr:row>7</xdr:row>
      <xdr:rowOff>10583</xdr:rowOff>
    </xdr:from>
    <xdr:to>
      <xdr:col>7</xdr:col>
      <xdr:colOff>74085</xdr:colOff>
      <xdr:row>13</xdr:row>
      <xdr:rowOff>31750</xdr:rowOff>
    </xdr:to>
    <xdr:pic>
      <xdr:nvPicPr>
        <xdr:cNvPr id="48" name="Picture 47">
          <a:extLst>
            <a:ext uri="{FF2B5EF4-FFF2-40B4-BE49-F238E27FC236}">
              <a16:creationId xmlns:a16="http://schemas.microsoft.com/office/drawing/2014/main" id="{6A87D65E-2018-DDE0-26C9-33710F57B9B6}"/>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28903" t="16279" r="29805" b="16279"/>
        <a:stretch/>
      </xdr:blipFill>
      <xdr:spPr>
        <a:xfrm>
          <a:off x="3577169" y="1418166"/>
          <a:ext cx="1164166" cy="12276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vardhine C" refreshedDate="45669.912592245368" createdVersion="8" refreshedVersion="8" minRefreshableVersion="3" recordCount="8523" xr:uid="{F41210E7-4798-47B3-8FFD-A87D22D29B5E}">
  <cacheSource type="worksheet">
    <worksheetSource name="Table1"/>
  </cacheSource>
  <cacheFields count="13">
    <cacheField name="SL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22784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B30D60-FA46-4C63-A922-0BAB2DBCD6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11:C14"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3">
    <i>
      <x/>
    </i>
    <i>
      <x v="1"/>
    </i>
    <i t="grand">
      <x/>
    </i>
  </rowItems>
  <colItems count="1">
    <i/>
  </colItems>
  <dataFields count="1">
    <dataField name="Sum of Sales" fld="11" baseField="0" baseItem="0" numFmtId="164"/>
  </dataFields>
  <formats count="8">
    <format dxfId="7">
      <pivotArea type="all" dataOnly="0" outline="0" fieldPosition="0"/>
    </format>
    <format dxfId="6">
      <pivotArea outline="0" collapsedLevelsAreSubtotals="1" fieldPosition="0"/>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grandRow="1" outline="0" fieldPosition="0"/>
    </format>
    <format dxfId="2">
      <pivotArea dataOnly="0" labelOnly="1" outline="0" axis="axisValues" fieldPosition="0"/>
    </format>
    <format dxfId="1">
      <pivotArea outline="0" collapsedLevelsAreSubtotals="1" fieldPosition="0"/>
    </format>
    <format dxfId="0">
      <pivotArea dataOnly="0" labelOnly="1" outline="0" axis="axisValues" fieldPosition="0"/>
    </format>
  </format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0"/>
          </reference>
        </references>
      </pivotArea>
    </chartFormat>
    <chartFormat chart="15"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ABBD5B-5CD7-4EB2-95AD-F8DEA70ECA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D42:E5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4"/>
  </dataFields>
  <formats count="7">
    <format dxfId="14">
      <pivotArea type="all" dataOnly="0" outline="0" fieldPosition="0"/>
    </format>
    <format dxfId="13">
      <pivotArea outline="0" collapsedLevelsAreSubtotals="1" fieldPosition="0"/>
    </format>
    <format dxfId="12">
      <pivotArea field="4" type="button" dataOnly="0" labelOnly="1" outline="0" axis="axisRow" fieldPosition="0"/>
    </format>
    <format dxfId="11">
      <pivotArea dataOnly="0" labelOnly="1" fieldPosition="0">
        <references count="1">
          <reference field="4" count="0"/>
        </references>
      </pivotArea>
    </format>
    <format dxfId="10">
      <pivotArea dataOnly="0" labelOnly="1" grandRow="1" outline="0" fieldPosition="0"/>
    </format>
    <format dxfId="9">
      <pivotArea dataOnly="0" labelOnly="1" outline="0" axis="axisValues" fieldPosition="0"/>
    </format>
    <format dxfId="8">
      <pivotArea outline="0" collapsedLevelsAreSubtotals="1" fieldPosition="0"/>
    </format>
  </formats>
  <chartFormats count="14">
    <chartFormat chart="7" format="5"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4" count="1" selected="0">
            <x v="0"/>
          </reference>
        </references>
      </pivotArea>
    </chartFormat>
    <chartFormat chart="26" format="4">
      <pivotArea type="data" outline="0" fieldPosition="0">
        <references count="2">
          <reference field="4294967294" count="1" selected="0">
            <x v="0"/>
          </reference>
          <reference field="4" count="1" selected="0">
            <x v="1"/>
          </reference>
        </references>
      </pivotArea>
    </chartFormat>
    <chartFormat chart="26" format="5">
      <pivotArea type="data" outline="0" fieldPosition="0">
        <references count="2">
          <reference field="4294967294" count="1" selected="0">
            <x v="0"/>
          </reference>
          <reference field="4" count="1" selected="0">
            <x v="2"/>
          </reference>
        </references>
      </pivotArea>
    </chartFormat>
    <chartFormat chart="26" format="6">
      <pivotArea type="data" outline="0" fieldPosition="0">
        <references count="2">
          <reference field="4294967294" count="1" selected="0">
            <x v="0"/>
          </reference>
          <reference field="4" count="1" selected="0">
            <x v="3"/>
          </reference>
        </references>
      </pivotArea>
    </chartFormat>
    <chartFormat chart="26" format="7">
      <pivotArea type="data" outline="0" fieldPosition="0">
        <references count="2">
          <reference field="4294967294" count="1" selected="0">
            <x v="0"/>
          </reference>
          <reference field="4" count="1" selected="0">
            <x v="4"/>
          </reference>
        </references>
      </pivotArea>
    </chartFormat>
    <chartFormat chart="26" format="8">
      <pivotArea type="data" outline="0" fieldPosition="0">
        <references count="2">
          <reference field="4294967294" count="1" selected="0">
            <x v="0"/>
          </reference>
          <reference field="4" count="1" selected="0">
            <x v="5"/>
          </reference>
        </references>
      </pivotArea>
    </chartFormat>
    <chartFormat chart="26" format="9">
      <pivotArea type="data" outline="0" fieldPosition="0">
        <references count="2">
          <reference field="4294967294" count="1" selected="0">
            <x v="0"/>
          </reference>
          <reference field="4" count="1" selected="0">
            <x v="6"/>
          </reference>
        </references>
      </pivotArea>
    </chartFormat>
    <chartFormat chart="26" format="10">
      <pivotArea type="data" outline="0" fieldPosition="0">
        <references count="2">
          <reference field="4294967294" count="1" selected="0">
            <x v="0"/>
          </reference>
          <reference field="4" count="1" selected="0">
            <x v="7"/>
          </reference>
        </references>
      </pivotArea>
    </chartFormat>
    <chartFormat chart="2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5D031A-CA45-43F7-829F-4DA62B6CCBA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103:D108" firstHeaderRow="1" firstDataRow="1" firstDataCol="1"/>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L .No" fld="0" subtotal="count" baseField="6" baseItem="0"/>
  </dataFields>
  <formats count="6">
    <format dxfId="20">
      <pivotArea type="all" dataOnly="0" outline="0" fieldPosition="0"/>
    </format>
    <format dxfId="19">
      <pivotArea outline="0" collapsedLevelsAreSubtotals="1" fieldPosition="0"/>
    </format>
    <format dxfId="18">
      <pivotArea field="8" type="button" dataOnly="0" labelOnly="1" outline="0" axis="axisRow" fieldPosition="0"/>
    </format>
    <format dxfId="17">
      <pivotArea dataOnly="0" labelOnly="1" fieldPosition="0">
        <references count="1">
          <reference field="8" count="0"/>
        </references>
      </pivotArea>
    </format>
    <format dxfId="16">
      <pivotArea dataOnly="0" labelOnly="1" grandRow="1" outline="0" fieldPosition="0"/>
    </format>
    <format dxfId="15">
      <pivotArea dataOnly="0" labelOnly="1" outline="0" axis="axisValues" fieldPosition="0"/>
    </format>
  </formats>
  <chartFormats count="3">
    <chartFormat chart="21"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6B83FE-1FC4-471A-B5C7-91AAE5320D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59:D63"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numFmtId="164"/>
  </dataFields>
  <formats count="7">
    <format dxfId="27">
      <pivotArea type="all" dataOnly="0" outline="0" fieldPosition="0"/>
    </format>
    <format dxfId="26">
      <pivotArea outline="0" collapsedLevelsAreSubtotals="1" fieldPosition="0"/>
    </format>
    <format dxfId="25">
      <pivotArea field="7" type="button" dataOnly="0" labelOnly="1" outline="0" axis="axisRow" fieldPosition="0"/>
    </format>
    <format dxfId="24">
      <pivotArea dataOnly="0" labelOnly="1" fieldPosition="0">
        <references count="1">
          <reference field="7" count="0"/>
        </references>
      </pivotArea>
    </format>
    <format dxfId="23">
      <pivotArea dataOnly="0" labelOnly="1" grandRow="1" outline="0" fieldPosition="0"/>
    </format>
    <format dxfId="22">
      <pivotArea dataOnly="0" labelOnly="1" outline="0" axis="axisValues" fieldPosition="0"/>
    </format>
    <format dxfId="21">
      <pivotArea outline="0" collapsedLevelsAreSubtotals="1" fieldPosition="0"/>
    </format>
  </formats>
  <chartFormats count="12">
    <chartFormat chart="7" format="5"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7" count="1" selected="0">
            <x v="0"/>
          </reference>
        </references>
      </pivotArea>
    </chartFormat>
    <chartFormat chart="24" format="10">
      <pivotArea type="data" outline="0" fieldPosition="0">
        <references count="2">
          <reference field="4294967294" count="1" selected="0">
            <x v="0"/>
          </reference>
          <reference field="7" count="1" selected="0">
            <x v="1"/>
          </reference>
        </references>
      </pivotArea>
    </chartFormat>
    <chartFormat chart="2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93E341-690C-4F8C-8E69-6979CA47836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81:D8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8" baseItem="0" numFmtId="164"/>
  </dataFields>
  <formats count="7">
    <format dxfId="34">
      <pivotArea type="all" dataOnly="0" outline="0" fieldPosition="0"/>
    </format>
    <format dxfId="33">
      <pivotArea outline="0" collapsedLevelsAreSubtotals="1" fieldPosition="0"/>
    </format>
    <format dxfId="32">
      <pivotArea field="8" type="button" dataOnly="0" labelOnly="1" outline="0" axis="axisRow" fieldPosition="0"/>
    </format>
    <format dxfId="31">
      <pivotArea dataOnly="0" labelOnly="1" fieldPosition="0">
        <references count="1">
          <reference field="8" count="0"/>
        </references>
      </pivotArea>
    </format>
    <format dxfId="30">
      <pivotArea dataOnly="0" labelOnly="1" grandRow="1" outline="0" fieldPosition="0"/>
    </format>
    <format dxfId="29">
      <pivotArea dataOnly="0" labelOnly="1" outline="0" axis="axisValues" fieldPosition="0"/>
    </format>
    <format dxfId="28">
      <pivotArea outline="0" collapsedLevelsAreSubtotals="1" fieldPosition="0"/>
    </format>
  </formats>
  <chartFormats count="7">
    <chartFormat chart="7" format="5"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248AE1-B430-4BBE-A878-C07392C94A8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C24:E28" firstHeaderRow="1" firstDataRow="2" firstDataCol="1"/>
  <pivotFields count="13">
    <pivotField showAll="0"/>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4"/>
  </dataFields>
  <formats count="9">
    <format dxfId="43">
      <pivotArea type="all" dataOnly="0" outline="0" fieldPosition="0"/>
    </format>
    <format dxfId="42">
      <pivotArea outline="0" collapsedLevelsAreSubtotals="1" fieldPosition="0"/>
    </format>
    <format dxfId="41">
      <pivotArea type="origin" dataOnly="0" labelOnly="1" outline="0" fieldPosition="0"/>
    </format>
    <format dxfId="40">
      <pivotArea field="1" type="button" dataOnly="0" labelOnly="1" outline="0" axis="axisCol" fieldPosition="0"/>
    </format>
    <format dxfId="39">
      <pivotArea type="topRight" dataOnly="0" labelOnly="1" outline="0" fieldPosition="0"/>
    </format>
    <format dxfId="38">
      <pivotArea field="6" type="button" dataOnly="0" labelOnly="1" outline="0" axis="axisRow" fieldPosition="0"/>
    </format>
    <format dxfId="37">
      <pivotArea dataOnly="0" labelOnly="1" grandRow="1" outline="0" fieldPosition="0"/>
    </format>
    <format dxfId="36">
      <pivotArea dataOnly="0" labelOnly="1" grandCol="1" outline="0" fieldPosition="0"/>
    </format>
    <format dxfId="35">
      <pivotArea outline="0" collapsedLevelsAreSubtotals="1" fieldPosition="0"/>
    </format>
  </formats>
  <chartFormats count="10">
    <chartFormat chart="7" format="5"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18" format="2" series="1">
      <pivotArea type="data" outline="0" fieldPosition="0">
        <references count="2">
          <reference field="4294967294" count="1" selected="0">
            <x v="0"/>
          </reference>
          <reference field="1" count="1" selected="0">
            <x v="0"/>
          </reference>
        </references>
      </pivotArea>
    </chartFormat>
    <chartFormat chart="22" format="5" series="1">
      <pivotArea type="data" outline="0" fieldPosition="0">
        <references count="2">
          <reference field="4294967294" count="1" selected="0">
            <x v="0"/>
          </reference>
          <reference field="1" count="1" selected="0">
            <x v="0"/>
          </reference>
        </references>
      </pivotArea>
    </chartFormat>
    <chartFormat chart="22"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C7CA8E-504B-4826-AFF2-BFE1A47B369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C70:D74"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numFmtId="164"/>
  </dataFields>
  <formats count="7">
    <format dxfId="50">
      <pivotArea type="all" dataOnly="0" outline="0" fieldPosition="0"/>
    </format>
    <format dxfId="49">
      <pivotArea outline="0" collapsedLevelsAreSubtotals="1" fieldPosition="0"/>
    </format>
    <format dxfId="48">
      <pivotArea field="6" type="button" dataOnly="0" labelOnly="1" outline="0" axis="axisRow" fieldPosition="0"/>
    </format>
    <format dxfId="47">
      <pivotArea dataOnly="0" labelOnly="1" fieldPosition="0">
        <references count="1">
          <reference field="6" count="0"/>
        </references>
      </pivotArea>
    </format>
    <format dxfId="46">
      <pivotArea dataOnly="0" labelOnly="1" grandRow="1" outline="0" fieldPosition="0"/>
    </format>
    <format dxfId="45">
      <pivotArea dataOnly="0" labelOnly="1" outline="0" axis="axisValues" fieldPosition="0"/>
    </format>
    <format dxfId="44">
      <pivotArea outline="0" collapsedLevelsAreSubtotals="1" fieldPosition="0"/>
    </format>
  </formats>
  <chartFormats count="7">
    <chartFormat chart="7" format="5"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F02C74-D215-41B9-9FE0-A809ABCA95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O25:P42"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numFmtId="164"/>
  </dataFields>
  <formats count="7">
    <format dxfId="57">
      <pivotArea type="all" dataOnly="0" outline="0" fieldPosition="0"/>
    </format>
    <format dxfId="56">
      <pivotArea outline="0" collapsedLevelsAreSubtotals="1" fieldPosition="0"/>
    </format>
    <format dxfId="55">
      <pivotArea field="3" type="button" dataOnly="0" labelOnly="1" outline="0" axis="axisRow" fieldPosition="0"/>
    </format>
    <format dxfId="54">
      <pivotArea dataOnly="0" labelOnly="1" fieldPosition="0">
        <references count="1">
          <reference field="3" count="0"/>
        </references>
      </pivotArea>
    </format>
    <format dxfId="53">
      <pivotArea dataOnly="0" labelOnly="1" grandRow="1" outline="0" fieldPosition="0"/>
    </format>
    <format dxfId="52">
      <pivotArea dataOnly="0" labelOnly="1" outline="0" axis="axisValues" fieldPosition="0"/>
    </format>
    <format dxfId="51">
      <pivotArea outline="0" collapsedLevelsAreSubtotals="1" fieldPosition="0"/>
    </format>
  </formats>
  <chartFormats count="7">
    <chartFormat chart="7" format="5"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175FCF-E3AE-4C94-A639-33BE8F75AE9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92:D9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numFmtId="165"/>
  </dataFields>
  <formats count="7">
    <format dxfId="64">
      <pivotArea type="all" dataOnly="0" outline="0" fieldPosition="0"/>
    </format>
    <format dxfId="63">
      <pivotArea outline="0" collapsedLevelsAreSubtotals="1" fieldPosition="0"/>
    </format>
    <format dxfId="62">
      <pivotArea field="8" type="button" dataOnly="0" labelOnly="1" outline="0" axis="axisRow" fieldPosition="0"/>
    </format>
    <format dxfId="61">
      <pivotArea dataOnly="0" labelOnly="1" fieldPosition="0">
        <references count="1">
          <reference field="8" count="0"/>
        </references>
      </pivotArea>
    </format>
    <format dxfId="60">
      <pivotArea dataOnly="0" labelOnly="1" grandRow="1" outline="0" fieldPosition="0"/>
    </format>
    <format dxfId="59">
      <pivotArea dataOnly="0" labelOnly="1" outline="0" axis="axisValues" fieldPosition="0"/>
    </format>
    <format dxfId="58">
      <pivotArea outline="0" collapsedLevelsAreSubtotals="1" fieldPosition="0"/>
    </format>
  </formats>
  <chartFormats count="7">
    <chartFormat chart="7" format="5"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3DDBD2-FA72-4078-8509-0A9FCF385F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Rating" fld="12" subtotal="average" baseField="0" baseItem="1"/>
    <dataField name="Average of Sales2" fld="11" subtotal="average" baseField="0" baseItem="1"/>
    <dataField name="Count of SL .No" fld="0" subtotal="count" baseField="0" baseItem="1"/>
  </dataFields>
  <formats count="3">
    <format dxfId="67">
      <pivotArea type="all" dataOnly="0" outline="0" fieldPosition="0"/>
    </format>
    <format dxfId="66">
      <pivotArea outline="0" collapsedLevelsAreSubtotals="1" fieldPosition="0"/>
    </format>
    <format dxfId="6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5D9F443-1C8C-402E-9456-2AA5939A9BFB}" sourceName="Outlet Size">
  <pivotTables>
    <pivotTable tabId="3" name="PivotTable1"/>
    <pivotTable tabId="3" name="PivotTable2"/>
    <pivotTable tabId="3" name="PivotTable4"/>
    <pivotTable tabId="3" name="PivotTable5"/>
    <pivotTable tabId="3" name="PivotTable6"/>
    <pivotTable tabId="3" name="PivotTable7"/>
    <pivotTable tabId="3" name="PivotTable3"/>
    <pivotTable tabId="3" name="PivotTable8"/>
    <pivotTable tabId="3" name="PivotTable9"/>
    <pivotTable tabId="3" name="PivotTable10"/>
  </pivotTables>
  <data>
    <tabular pivotCacheId="62278464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CD0665D-CEAF-4064-9F77-94D780FEA42C}" sourceName="Outlet Location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62278464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18874FB-BE7B-4AD3-9EAB-504AB026E722}" sourceName="Item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62278464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0B1F26E-72BB-4708-A863-FCF06F76908C}" cache="Slicer_Outlet_Size" caption="Outlet Size" rowHeight="260350"/>
  <slicer name="Outlet Location Type" xr10:uid="{FDA054E2-B1C6-4AA9-BB86-650528CC0E83}" cache="Slicer_Outlet_Location_Type" caption="Outlet Location Type" rowHeight="260350"/>
  <slicer name="Item Type" xr10:uid="{2BFEF8E5-3A70-48E9-B881-4DA4F6B20FD1}" cache="Slicer_Item_Type" caption="Item Type" startItem="3"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A870D7F-02C4-47E7-A6B7-225145ACA391}" cache="Slicer_Outlet_Size" caption="Outlet Size" rowHeight="260350"/>
  <slicer name="Outlet Location Type 1" xr10:uid="{D032C9D8-7353-466D-95C7-BE50DC3B27D2}" cache="Slicer_Outlet_Location_Type" caption="Outlet Location Type" rowHeight="260350"/>
  <slicer name="Item Type 1" xr10:uid="{18D57868-F051-40B1-8397-ABDFDC696F44}" cache="Slicer_Item_Type" caption="Item Type" startItem="9"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99A86E59-5824-4BC1-B597-2A08D47CBF2F}" name="SL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FFC000"/>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8" zoomScaleNormal="63" workbookViewId="0">
      <selection activeCell="C16" sqref="C16"/>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1612</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6105B-412E-46C1-B697-9AC3356F8795}">
  <dimension ref="B2:W8535"/>
  <sheetViews>
    <sheetView topLeftCell="A46" zoomScale="56" zoomScaleNormal="56" workbookViewId="0">
      <selection activeCell="P26" sqref="P26:P42"/>
    </sheetView>
  </sheetViews>
  <sheetFormatPr defaultRowHeight="15.6" x14ac:dyDescent="0.3"/>
  <cols>
    <col min="2" max="2" width="17.59765625" bestFit="1" customWidth="1"/>
    <col min="3" max="3" width="19.8984375" bestFit="1" customWidth="1"/>
    <col min="4" max="4" width="20.5" bestFit="1" customWidth="1"/>
    <col min="5" max="5" width="16.3984375" bestFit="1" customWidth="1"/>
    <col min="6" max="6" width="12.19921875" bestFit="1" customWidth="1"/>
    <col min="7" max="13" width="11.8984375" bestFit="1" customWidth="1"/>
    <col min="15" max="15" width="21.8984375" bestFit="1" customWidth="1"/>
    <col min="16" max="16" width="16.3984375" bestFit="1" customWidth="1"/>
  </cols>
  <sheetData>
    <row r="2" spans="2:8" ht="16.2" thickBot="1" x14ac:dyDescent="0.35">
      <c r="B2" s="39" t="s">
        <v>1619</v>
      </c>
      <c r="C2" s="39"/>
      <c r="D2" s="39"/>
      <c r="E2" s="39"/>
    </row>
    <row r="3" spans="2:8" ht="16.2" thickBot="1" x14ac:dyDescent="0.35">
      <c r="B3" s="17" t="s">
        <v>1610</v>
      </c>
      <c r="C3" s="19" t="s">
        <v>1614</v>
      </c>
      <c r="D3" s="19" t="s">
        <v>1611</v>
      </c>
      <c r="E3" s="18" t="s">
        <v>1613</v>
      </c>
    </row>
    <row r="4" spans="2:8" ht="16.2" thickBot="1" x14ac:dyDescent="0.35">
      <c r="B4" s="17">
        <v>1201681.4928000034</v>
      </c>
      <c r="C4" s="19">
        <v>3.9658570925731196</v>
      </c>
      <c r="D4" s="19">
        <v>140.99278338613203</v>
      </c>
      <c r="E4" s="18">
        <v>8523</v>
      </c>
    </row>
    <row r="5" spans="2:8" x14ac:dyDescent="0.3">
      <c r="B5" s="4"/>
      <c r="E5" s="5"/>
    </row>
    <row r="6" spans="2:8" x14ac:dyDescent="0.3">
      <c r="B6" s="4" t="s">
        <v>1615</v>
      </c>
      <c r="C6" t="s">
        <v>1617</v>
      </c>
      <c r="D6" t="s">
        <v>1616</v>
      </c>
      <c r="E6" s="5" t="s">
        <v>1618</v>
      </c>
    </row>
    <row r="7" spans="2:8" x14ac:dyDescent="0.3">
      <c r="B7" s="20">
        <f>GETPIVOTDATA("Sum of Sales",$B$3)</f>
        <v>1201681.4928000034</v>
      </c>
      <c r="C7" s="21">
        <f>GETPIVOTDATA("Average of Rating",$B$3)</f>
        <v>3.9658570925731196</v>
      </c>
      <c r="D7" s="22">
        <f>GETPIVOTDATA("Average of Sales2",$B$3)</f>
        <v>140.99278338613203</v>
      </c>
      <c r="E7" s="5">
        <f>GETPIVOTDATA("Count of SL .No",$B$3)</f>
        <v>8523</v>
      </c>
    </row>
    <row r="8" spans="2:8" ht="16.2" thickBot="1" x14ac:dyDescent="0.35">
      <c r="B8" s="6"/>
      <c r="C8" s="7"/>
      <c r="D8" s="7"/>
      <c r="E8" s="8"/>
    </row>
    <row r="9" spans="2:8" ht="16.2" thickBot="1" x14ac:dyDescent="0.35"/>
    <row r="10" spans="2:8" ht="16.2" thickBot="1" x14ac:dyDescent="0.35">
      <c r="B10" s="44" t="s">
        <v>1622</v>
      </c>
      <c r="C10" s="45"/>
      <c r="D10" s="45"/>
      <c r="E10" s="45"/>
      <c r="F10" s="45"/>
      <c r="G10" s="45"/>
      <c r="H10" s="3"/>
    </row>
    <row r="11" spans="2:8" ht="16.2" thickBot="1" x14ac:dyDescent="0.35">
      <c r="B11" s="14" t="s">
        <v>1620</v>
      </c>
      <c r="C11" s="23" t="s">
        <v>1610</v>
      </c>
      <c r="H11" s="5"/>
    </row>
    <row r="12" spans="2:8" x14ac:dyDescent="0.3">
      <c r="B12" s="15" t="s">
        <v>17</v>
      </c>
      <c r="C12" s="24">
        <v>776319.68840000057</v>
      </c>
      <c r="H12" s="5"/>
    </row>
    <row r="13" spans="2:8" ht="16.2" thickBot="1" x14ac:dyDescent="0.35">
      <c r="B13" s="13" t="s">
        <v>10</v>
      </c>
      <c r="C13" s="25">
        <v>425361.8043999995</v>
      </c>
      <c r="H13" s="5"/>
    </row>
    <row r="14" spans="2:8" ht="16.2" thickBot="1" x14ac:dyDescent="0.35">
      <c r="B14" s="16" t="s">
        <v>1621</v>
      </c>
      <c r="C14" s="26">
        <v>1201681.4928000001</v>
      </c>
      <c r="H14" s="5"/>
    </row>
    <row r="15" spans="2:8" x14ac:dyDescent="0.3">
      <c r="B15" s="4"/>
      <c r="H15" s="5"/>
    </row>
    <row r="16" spans="2:8" x14ac:dyDescent="0.3">
      <c r="B16" s="4"/>
      <c r="H16" s="5"/>
    </row>
    <row r="17" spans="2:23" x14ac:dyDescent="0.3">
      <c r="B17" s="4"/>
      <c r="H17" s="5"/>
    </row>
    <row r="18" spans="2:23" x14ac:dyDescent="0.3">
      <c r="B18" s="4"/>
      <c r="H18" s="5"/>
    </row>
    <row r="19" spans="2:23" ht="16.2" thickBot="1" x14ac:dyDescent="0.35">
      <c r="B19" s="6"/>
      <c r="C19" s="7"/>
      <c r="D19" s="7"/>
      <c r="E19" s="7"/>
      <c r="F19" s="7"/>
      <c r="G19" s="7"/>
      <c r="H19" s="8"/>
    </row>
    <row r="21" spans="2:23" ht="16.2" thickBot="1" x14ac:dyDescent="0.35"/>
    <row r="22" spans="2:23" ht="16.2" thickBot="1" x14ac:dyDescent="0.35">
      <c r="N22" s="1"/>
      <c r="O22" s="2"/>
      <c r="P22" s="2"/>
      <c r="Q22" s="2"/>
      <c r="R22" s="2"/>
      <c r="S22" s="2"/>
      <c r="T22" s="2"/>
      <c r="U22" s="2"/>
      <c r="V22" s="2"/>
      <c r="W22" s="3"/>
    </row>
    <row r="23" spans="2:23" ht="19.8" thickBot="1" x14ac:dyDescent="0.5">
      <c r="B23" s="1"/>
      <c r="C23" s="42" t="s">
        <v>1627</v>
      </c>
      <c r="D23" s="42"/>
      <c r="E23" s="42"/>
      <c r="F23" s="42"/>
      <c r="G23" s="42"/>
      <c r="H23" s="42"/>
      <c r="I23" s="42"/>
      <c r="J23" s="42"/>
      <c r="K23" s="43"/>
      <c r="N23" s="4"/>
      <c r="O23" s="40" t="s">
        <v>1628</v>
      </c>
      <c r="P23" s="40"/>
      <c r="Q23" s="40"/>
      <c r="R23" s="40"/>
      <c r="S23" s="40"/>
      <c r="T23" s="40"/>
      <c r="U23" s="40"/>
      <c r="V23" s="40"/>
      <c r="W23" s="41"/>
    </row>
    <row r="24" spans="2:23" ht="16.2" thickBot="1" x14ac:dyDescent="0.35">
      <c r="B24" s="4"/>
      <c r="C24" s="14" t="s">
        <v>1610</v>
      </c>
      <c r="D24" s="14" t="s">
        <v>1626</v>
      </c>
      <c r="E24" s="9"/>
      <c r="K24" s="5"/>
      <c r="N24" s="4"/>
      <c r="W24" s="5"/>
    </row>
    <row r="25" spans="2:23" ht="16.2" thickBot="1" x14ac:dyDescent="0.35">
      <c r="B25" s="4"/>
      <c r="C25" s="14" t="s">
        <v>1620</v>
      </c>
      <c r="D25" t="s">
        <v>17</v>
      </c>
      <c r="E25" s="5" t="s">
        <v>10</v>
      </c>
      <c r="K25" s="5"/>
      <c r="N25" s="4"/>
      <c r="O25" s="14" t="s">
        <v>1620</v>
      </c>
      <c r="P25" s="9" t="s">
        <v>1610</v>
      </c>
      <c r="W25" s="5"/>
    </row>
    <row r="26" spans="2:23" x14ac:dyDescent="0.3">
      <c r="B26" s="4"/>
      <c r="C26" s="10" t="s">
        <v>14</v>
      </c>
      <c r="D26" s="27">
        <v>215047.9126000001</v>
      </c>
      <c r="E26" s="28">
        <v>121349.89940000001</v>
      </c>
      <c r="K26" s="5"/>
      <c r="N26" s="4"/>
      <c r="O26" s="15" t="s">
        <v>153</v>
      </c>
      <c r="P26" s="24">
        <v>9077.869999999999</v>
      </c>
      <c r="W26" s="5"/>
    </row>
    <row r="27" spans="2:23" x14ac:dyDescent="0.3">
      <c r="B27" s="4"/>
      <c r="C27" s="10" t="s">
        <v>34</v>
      </c>
      <c r="D27" s="20">
        <v>254464.77940000014</v>
      </c>
      <c r="E27" s="29">
        <v>138685.86819999994</v>
      </c>
      <c r="K27" s="5"/>
      <c r="N27" s="4"/>
      <c r="O27" s="12" t="s">
        <v>74</v>
      </c>
      <c r="P27" s="25">
        <v>15596.696600000001</v>
      </c>
      <c r="W27" s="5"/>
    </row>
    <row r="28" spans="2:23" ht="16.2" thickBot="1" x14ac:dyDescent="0.35">
      <c r="B28" s="4"/>
      <c r="C28" s="11" t="s">
        <v>21</v>
      </c>
      <c r="D28" s="30">
        <v>306806.99640000012</v>
      </c>
      <c r="E28" s="31">
        <v>165326.0368</v>
      </c>
      <c r="K28" s="5"/>
      <c r="N28" s="4"/>
      <c r="O28" s="12" t="s">
        <v>159</v>
      </c>
      <c r="P28" s="25">
        <v>21880.027399999992</v>
      </c>
      <c r="W28" s="5"/>
    </row>
    <row r="29" spans="2:23" x14ac:dyDescent="0.3">
      <c r="B29" s="4"/>
      <c r="K29" s="5"/>
      <c r="N29" s="4"/>
      <c r="O29" s="12" t="s">
        <v>64</v>
      </c>
      <c r="P29" s="25">
        <v>22451.891599999999</v>
      </c>
      <c r="W29" s="5"/>
    </row>
    <row r="30" spans="2:23" x14ac:dyDescent="0.3">
      <c r="B30" s="4"/>
      <c r="K30" s="5"/>
      <c r="N30" s="4"/>
      <c r="O30" s="12" t="s">
        <v>61</v>
      </c>
      <c r="P30" s="25">
        <v>29334.680599999996</v>
      </c>
      <c r="W30" s="5"/>
    </row>
    <row r="31" spans="2:23" x14ac:dyDescent="0.3">
      <c r="B31" s="4"/>
      <c r="K31" s="5"/>
      <c r="N31" s="4"/>
      <c r="O31" s="12" t="s">
        <v>57</v>
      </c>
      <c r="P31" s="25">
        <v>35379.119800000015</v>
      </c>
      <c r="W31" s="5"/>
    </row>
    <row r="32" spans="2:23" x14ac:dyDescent="0.3">
      <c r="B32" s="4"/>
      <c r="K32" s="5"/>
      <c r="N32" s="4"/>
      <c r="O32" s="12" t="s">
        <v>32</v>
      </c>
      <c r="P32" s="25">
        <v>58514.166999999987</v>
      </c>
      <c r="W32" s="5"/>
    </row>
    <row r="33" spans="2:23" x14ac:dyDescent="0.3">
      <c r="B33" s="4"/>
      <c r="K33" s="5"/>
      <c r="N33" s="4"/>
      <c r="O33" s="12" t="s">
        <v>54</v>
      </c>
      <c r="P33" s="25">
        <v>59449.863799999992</v>
      </c>
      <c r="W33" s="5"/>
    </row>
    <row r="34" spans="2:23" x14ac:dyDescent="0.3">
      <c r="B34" s="4"/>
      <c r="K34" s="5"/>
      <c r="N34" s="4"/>
      <c r="O34" s="12" t="s">
        <v>19</v>
      </c>
      <c r="P34" s="25">
        <v>68025.838800000012</v>
      </c>
      <c r="W34" s="5"/>
    </row>
    <row r="35" spans="2:23" x14ac:dyDescent="0.3">
      <c r="B35" s="4"/>
      <c r="K35" s="5"/>
      <c r="N35" s="4"/>
      <c r="O35" s="12" t="s">
        <v>95</v>
      </c>
      <c r="P35" s="25">
        <v>81894.736400000009</v>
      </c>
      <c r="W35" s="5"/>
    </row>
    <row r="36" spans="2:23" x14ac:dyDescent="0.3">
      <c r="B36" s="4"/>
      <c r="K36" s="5"/>
      <c r="N36" s="4"/>
      <c r="O36" s="12" t="s">
        <v>28</v>
      </c>
      <c r="P36" s="25">
        <v>90706.728999999992</v>
      </c>
      <c r="W36" s="5"/>
    </row>
    <row r="37" spans="2:23" ht="16.2" thickBot="1" x14ac:dyDescent="0.35">
      <c r="B37" s="6"/>
      <c r="C37" s="7"/>
      <c r="D37" s="7"/>
      <c r="E37" s="7"/>
      <c r="F37" s="7"/>
      <c r="G37" s="7"/>
      <c r="H37" s="7"/>
      <c r="I37" s="7"/>
      <c r="J37" s="7"/>
      <c r="K37" s="8"/>
      <c r="N37" s="4"/>
      <c r="O37" s="12" t="s">
        <v>67</v>
      </c>
      <c r="P37" s="25">
        <v>101276.46159999995</v>
      </c>
      <c r="W37" s="5"/>
    </row>
    <row r="38" spans="2:23" ht="16.2" thickBot="1" x14ac:dyDescent="0.35">
      <c r="K38" s="8"/>
      <c r="N38" s="4"/>
      <c r="O38" s="12" t="s">
        <v>24</v>
      </c>
      <c r="P38" s="25">
        <v>118558.88140000009</v>
      </c>
      <c r="W38" s="5"/>
    </row>
    <row r="39" spans="2:23" x14ac:dyDescent="0.3">
      <c r="N39" s="4"/>
      <c r="O39" s="12" t="s">
        <v>42</v>
      </c>
      <c r="P39" s="25">
        <v>135976.52539999998</v>
      </c>
      <c r="W39" s="5"/>
    </row>
    <row r="40" spans="2:23" ht="16.2" thickBot="1" x14ac:dyDescent="0.35">
      <c r="N40" s="4"/>
      <c r="O40" s="12" t="s">
        <v>48</v>
      </c>
      <c r="P40" s="25">
        <v>175433.92240000021</v>
      </c>
      <c r="W40" s="5"/>
    </row>
    <row r="41" spans="2:23" ht="16.2" thickBot="1" x14ac:dyDescent="0.35">
      <c r="C41" s="1"/>
      <c r="D41" s="46" t="s">
        <v>1623</v>
      </c>
      <c r="E41" s="46"/>
      <c r="F41" s="46"/>
      <c r="G41" s="46"/>
      <c r="H41" s="46"/>
      <c r="I41" s="46"/>
      <c r="J41" s="46"/>
      <c r="K41" s="46"/>
      <c r="L41" s="47"/>
      <c r="N41" s="4"/>
      <c r="O41" s="13" t="s">
        <v>12</v>
      </c>
      <c r="P41" s="25">
        <v>178124.08099999995</v>
      </c>
      <c r="W41" s="5"/>
    </row>
    <row r="42" spans="2:23" ht="16.2" thickBot="1" x14ac:dyDescent="0.35">
      <c r="C42" s="4"/>
      <c r="D42" s="14" t="s">
        <v>1620</v>
      </c>
      <c r="E42" s="9" t="s">
        <v>1610</v>
      </c>
      <c r="L42" s="5"/>
      <c r="N42" s="4"/>
      <c r="O42" s="16" t="s">
        <v>1621</v>
      </c>
      <c r="P42" s="26">
        <v>1201681.4927999999</v>
      </c>
      <c r="W42" s="5"/>
    </row>
    <row r="43" spans="2:23" ht="16.2" thickBot="1" x14ac:dyDescent="0.35">
      <c r="C43" s="4"/>
      <c r="D43" s="15">
        <v>2011</v>
      </c>
      <c r="E43" s="24">
        <v>78131.566599999976</v>
      </c>
      <c r="L43" s="5"/>
      <c r="N43" s="6"/>
      <c r="O43" s="7"/>
      <c r="P43" s="7"/>
      <c r="Q43" s="7"/>
      <c r="R43" s="7"/>
      <c r="S43" s="7"/>
      <c r="T43" s="7"/>
      <c r="U43" s="7"/>
      <c r="V43" s="7"/>
      <c r="W43" s="8"/>
    </row>
    <row r="44" spans="2:23" x14ac:dyDescent="0.3">
      <c r="C44" s="4"/>
      <c r="D44" s="12">
        <v>2012</v>
      </c>
      <c r="E44" s="25">
        <v>130476.85979999998</v>
      </c>
      <c r="L44" s="5"/>
    </row>
    <row r="45" spans="2:23" x14ac:dyDescent="0.3">
      <c r="C45" s="4"/>
      <c r="D45" s="12">
        <v>2014</v>
      </c>
      <c r="E45" s="25">
        <v>131809.01560000007</v>
      </c>
      <c r="L45" s="5"/>
    </row>
    <row r="46" spans="2:23" x14ac:dyDescent="0.3">
      <c r="C46" s="4"/>
      <c r="D46" s="12">
        <v>2015</v>
      </c>
      <c r="E46" s="25">
        <v>130942.78019999999</v>
      </c>
      <c r="L46" s="5"/>
    </row>
    <row r="47" spans="2:23" x14ac:dyDescent="0.3">
      <c r="C47" s="4"/>
      <c r="D47" s="12">
        <v>2016</v>
      </c>
      <c r="E47" s="25">
        <v>132113.36980000007</v>
      </c>
      <c r="L47" s="5"/>
    </row>
    <row r="48" spans="2:23" x14ac:dyDescent="0.3">
      <c r="C48" s="4"/>
      <c r="D48" s="12">
        <v>2017</v>
      </c>
      <c r="E48" s="25">
        <v>133103.90699999989</v>
      </c>
      <c r="L48" s="5"/>
    </row>
    <row r="49" spans="2:12" x14ac:dyDescent="0.3">
      <c r="C49" s="4"/>
      <c r="D49" s="12">
        <v>2018</v>
      </c>
      <c r="E49" s="25">
        <v>204522.25700000025</v>
      </c>
      <c r="L49" s="5"/>
    </row>
    <row r="50" spans="2:12" x14ac:dyDescent="0.3">
      <c r="C50" s="4"/>
      <c r="D50" s="12">
        <v>2020</v>
      </c>
      <c r="E50" s="25">
        <v>129103.96039999987</v>
      </c>
      <c r="L50" s="5"/>
    </row>
    <row r="51" spans="2:12" ht="16.2" thickBot="1" x14ac:dyDescent="0.35">
      <c r="C51" s="4"/>
      <c r="D51" s="13">
        <v>2022</v>
      </c>
      <c r="E51" s="25">
        <v>131477.77639999994</v>
      </c>
      <c r="L51" s="5"/>
    </row>
    <row r="52" spans="2:12" ht="16.2" thickBot="1" x14ac:dyDescent="0.35">
      <c r="C52" s="4"/>
      <c r="D52" s="16" t="s">
        <v>1621</v>
      </c>
      <c r="E52" s="26">
        <v>1201681.4927999999</v>
      </c>
      <c r="L52" s="5"/>
    </row>
    <row r="53" spans="2:12" x14ac:dyDescent="0.3">
      <c r="C53" s="4"/>
      <c r="L53" s="5"/>
    </row>
    <row r="54" spans="2:12" ht="16.2" thickBot="1" x14ac:dyDescent="0.35">
      <c r="C54" s="6"/>
      <c r="D54" s="7"/>
      <c r="E54" s="7"/>
      <c r="F54" s="7"/>
      <c r="G54" s="7"/>
      <c r="H54" s="7"/>
      <c r="I54" s="7"/>
      <c r="J54" s="7"/>
      <c r="K54" s="7"/>
      <c r="L54" s="8"/>
    </row>
    <row r="55" spans="2:12" ht="16.2" thickBot="1" x14ac:dyDescent="0.35"/>
    <row r="56" spans="2:12" x14ac:dyDescent="0.3">
      <c r="B56" s="1"/>
      <c r="C56" s="2"/>
      <c r="D56" s="2"/>
      <c r="E56" s="2"/>
      <c r="F56" s="2"/>
      <c r="G56" s="2"/>
      <c r="H56" s="2"/>
      <c r="I56" s="2"/>
      <c r="J56" s="3"/>
    </row>
    <row r="57" spans="2:12" x14ac:dyDescent="0.3">
      <c r="B57" s="4"/>
      <c r="C57" s="38" t="s">
        <v>1624</v>
      </c>
      <c r="D57" s="38"/>
      <c r="E57" s="38"/>
      <c r="F57" s="38"/>
      <c r="G57" s="38"/>
      <c r="H57" s="38"/>
      <c r="J57" s="5"/>
    </row>
    <row r="58" spans="2:12" ht="16.2" thickBot="1" x14ac:dyDescent="0.35">
      <c r="B58" s="4"/>
      <c r="J58" s="5"/>
    </row>
    <row r="59" spans="2:12" ht="16.2" thickBot="1" x14ac:dyDescent="0.35">
      <c r="B59" s="4"/>
      <c r="C59" s="14" t="s">
        <v>1620</v>
      </c>
      <c r="D59" s="9" t="s">
        <v>1610</v>
      </c>
      <c r="J59" s="5"/>
    </row>
    <row r="60" spans="2:12" x14ac:dyDescent="0.3">
      <c r="B60" s="4"/>
      <c r="C60" s="15" t="s">
        <v>30</v>
      </c>
      <c r="D60" s="24">
        <v>248991.58600000024</v>
      </c>
      <c r="J60" s="5"/>
    </row>
    <row r="61" spans="2:12" x14ac:dyDescent="0.3">
      <c r="B61" s="4"/>
      <c r="C61" s="12" t="s">
        <v>15</v>
      </c>
      <c r="D61" s="25">
        <v>507895.7363999993</v>
      </c>
      <c r="J61" s="5"/>
    </row>
    <row r="62" spans="2:12" ht="16.2" thickBot="1" x14ac:dyDescent="0.35">
      <c r="B62" s="4"/>
      <c r="C62" s="13" t="s">
        <v>26</v>
      </c>
      <c r="D62" s="25">
        <v>444794.17039999936</v>
      </c>
      <c r="J62" s="5"/>
    </row>
    <row r="63" spans="2:12" ht="16.2" thickBot="1" x14ac:dyDescent="0.35">
      <c r="B63" s="4"/>
      <c r="C63" s="16" t="s">
        <v>1621</v>
      </c>
      <c r="D63" s="26">
        <v>1201681.4927999987</v>
      </c>
      <c r="J63" s="5"/>
    </row>
    <row r="64" spans="2:12" x14ac:dyDescent="0.3">
      <c r="B64" s="4"/>
      <c r="J64" s="5"/>
    </row>
    <row r="65" spans="2:10" ht="16.2" thickBot="1" x14ac:dyDescent="0.35">
      <c r="B65" s="6"/>
      <c r="C65" s="7"/>
      <c r="D65" s="7"/>
      <c r="E65" s="7"/>
      <c r="F65" s="7"/>
      <c r="G65" s="7"/>
      <c r="H65" s="7"/>
      <c r="I65" s="7"/>
      <c r="J65" s="8"/>
    </row>
    <row r="66" spans="2:10" ht="16.2" thickBot="1" x14ac:dyDescent="0.35"/>
    <row r="67" spans="2:10" x14ac:dyDescent="0.3">
      <c r="B67" s="1"/>
      <c r="C67" s="2"/>
      <c r="D67" s="2"/>
      <c r="E67" s="2"/>
      <c r="F67" s="2"/>
      <c r="G67" s="2"/>
      <c r="H67" s="2"/>
      <c r="I67" s="2"/>
      <c r="J67" s="3"/>
    </row>
    <row r="68" spans="2:10" x14ac:dyDescent="0.3">
      <c r="B68" s="4"/>
      <c r="C68" s="38" t="s">
        <v>1625</v>
      </c>
      <c r="D68" s="38"/>
      <c r="E68" s="38"/>
      <c r="F68" s="38"/>
      <c r="G68" s="38"/>
      <c r="H68" s="38"/>
      <c r="J68" s="5"/>
    </row>
    <row r="69" spans="2:10" ht="16.2" thickBot="1" x14ac:dyDescent="0.35">
      <c r="B69" s="4"/>
      <c r="J69" s="5"/>
    </row>
    <row r="70" spans="2:10" ht="16.2" thickBot="1" x14ac:dyDescent="0.35">
      <c r="B70" s="4"/>
      <c r="C70" s="14" t="s">
        <v>1620</v>
      </c>
      <c r="D70" s="9" t="s">
        <v>1610</v>
      </c>
      <c r="J70" s="5"/>
    </row>
    <row r="71" spans="2:10" x14ac:dyDescent="0.3">
      <c r="B71" s="4"/>
      <c r="C71" s="15" t="s">
        <v>14</v>
      </c>
      <c r="D71" s="24">
        <v>336397.81199999945</v>
      </c>
      <c r="J71" s="5"/>
    </row>
    <row r="72" spans="2:10" x14ac:dyDescent="0.3">
      <c r="B72" s="4"/>
      <c r="C72" s="12" t="s">
        <v>34</v>
      </c>
      <c r="D72" s="25">
        <v>393150.64759999956</v>
      </c>
      <c r="J72" s="5"/>
    </row>
    <row r="73" spans="2:10" ht="16.2" thickBot="1" x14ac:dyDescent="0.35">
      <c r="B73" s="4"/>
      <c r="C73" s="13" t="s">
        <v>21</v>
      </c>
      <c r="D73" s="25">
        <v>472133.03319999954</v>
      </c>
      <c r="J73" s="5"/>
    </row>
    <row r="74" spans="2:10" ht="16.2" thickBot="1" x14ac:dyDescent="0.35">
      <c r="B74" s="4"/>
      <c r="C74" s="16" t="s">
        <v>1621</v>
      </c>
      <c r="D74" s="26">
        <v>1201681.4927999985</v>
      </c>
      <c r="J74" s="5"/>
    </row>
    <row r="75" spans="2:10" x14ac:dyDescent="0.3">
      <c r="B75" s="4"/>
      <c r="J75" s="5"/>
    </row>
    <row r="76" spans="2:10" x14ac:dyDescent="0.3">
      <c r="B76" s="4"/>
      <c r="J76" s="5"/>
    </row>
    <row r="77" spans="2:10" x14ac:dyDescent="0.3">
      <c r="B77" s="4"/>
      <c r="J77" s="5"/>
    </row>
    <row r="78" spans="2:10" ht="16.2" thickBot="1" x14ac:dyDescent="0.35">
      <c r="B78" s="6"/>
      <c r="C78" s="7"/>
      <c r="D78" s="7"/>
      <c r="E78" s="7"/>
      <c r="F78" s="7"/>
      <c r="G78" s="7"/>
      <c r="H78" s="7"/>
      <c r="I78" s="7"/>
      <c r="J78" s="8"/>
    </row>
    <row r="79" spans="2:10" ht="16.2" thickBot="1" x14ac:dyDescent="0.35"/>
    <row r="80" spans="2:10" ht="16.2" thickBot="1" x14ac:dyDescent="0.35">
      <c r="B80" s="1"/>
      <c r="C80" s="2"/>
      <c r="D80" s="2"/>
      <c r="E80" s="2"/>
      <c r="F80" s="2"/>
      <c r="G80" s="2"/>
      <c r="H80" s="3"/>
    </row>
    <row r="81" spans="2:8" ht="16.2" thickBot="1" x14ac:dyDescent="0.35">
      <c r="B81" s="4"/>
      <c r="C81" s="14" t="s">
        <v>1620</v>
      </c>
      <c r="D81" s="9" t="s">
        <v>1610</v>
      </c>
      <c r="H81" s="5"/>
    </row>
    <row r="82" spans="2:8" x14ac:dyDescent="0.3">
      <c r="B82" s="4"/>
      <c r="C82" s="15" t="s">
        <v>40</v>
      </c>
      <c r="D82" s="24">
        <v>151939.149</v>
      </c>
      <c r="H82" s="5"/>
    </row>
    <row r="83" spans="2:8" x14ac:dyDescent="0.3">
      <c r="B83" s="4"/>
      <c r="C83" s="12" t="s">
        <v>16</v>
      </c>
      <c r="D83" s="25">
        <v>787549.89280000131</v>
      </c>
      <c r="H83" s="5"/>
    </row>
    <row r="84" spans="2:8" x14ac:dyDescent="0.3">
      <c r="B84" s="4"/>
      <c r="C84" s="12" t="s">
        <v>22</v>
      </c>
      <c r="D84" s="25">
        <v>131477.77639999994</v>
      </c>
      <c r="H84" s="5"/>
    </row>
    <row r="85" spans="2:8" ht="16.2" thickBot="1" x14ac:dyDescent="0.35">
      <c r="B85" s="4"/>
      <c r="C85" s="13" t="s">
        <v>46</v>
      </c>
      <c r="D85" s="25">
        <v>130714.67460000006</v>
      </c>
      <c r="H85" s="5"/>
    </row>
    <row r="86" spans="2:8" ht="16.2" thickBot="1" x14ac:dyDescent="0.35">
      <c r="B86" s="4"/>
      <c r="C86" s="16" t="s">
        <v>1621</v>
      </c>
      <c r="D86" s="26">
        <v>1201681.4928000013</v>
      </c>
      <c r="H86" s="5"/>
    </row>
    <row r="87" spans="2:8" ht="16.2" thickBot="1" x14ac:dyDescent="0.35">
      <c r="B87" s="6"/>
      <c r="C87" s="7"/>
      <c r="D87" s="7"/>
      <c r="E87" s="7"/>
      <c r="F87" s="7"/>
      <c r="G87" s="7"/>
      <c r="H87" s="8"/>
    </row>
    <row r="90" spans="2:8" ht="16.2" thickBot="1" x14ac:dyDescent="0.35"/>
    <row r="91" spans="2:8" ht="16.2" thickBot="1" x14ac:dyDescent="0.35">
      <c r="B91" s="1"/>
      <c r="C91" s="2"/>
      <c r="D91" s="2"/>
      <c r="E91" s="2"/>
      <c r="F91" s="2"/>
      <c r="G91" s="2"/>
      <c r="H91" s="3"/>
    </row>
    <row r="92" spans="2:8" ht="16.2" thickBot="1" x14ac:dyDescent="0.35">
      <c r="B92" s="4"/>
      <c r="C92" s="14" t="s">
        <v>1620</v>
      </c>
      <c r="D92" s="9" t="s">
        <v>1629</v>
      </c>
      <c r="H92" s="5"/>
    </row>
    <row r="93" spans="2:8" x14ac:dyDescent="0.3">
      <c r="B93" s="4"/>
      <c r="C93" s="15" t="s">
        <v>40</v>
      </c>
      <c r="D93" s="32">
        <v>140.29468975069253</v>
      </c>
      <c r="H93" s="5"/>
    </row>
    <row r="94" spans="2:8" x14ac:dyDescent="0.3">
      <c r="B94" s="4"/>
      <c r="C94" s="12" t="s">
        <v>16</v>
      </c>
      <c r="D94" s="33">
        <v>141.21389506903375</v>
      </c>
      <c r="H94" s="5"/>
    </row>
    <row r="95" spans="2:8" x14ac:dyDescent="0.3">
      <c r="B95" s="4"/>
      <c r="C95" s="12" t="s">
        <v>22</v>
      </c>
      <c r="D95" s="33">
        <v>141.67863836206891</v>
      </c>
      <c r="H95" s="5"/>
    </row>
    <row r="96" spans="2:8" ht="16.2" thickBot="1" x14ac:dyDescent="0.35">
      <c r="B96" s="4"/>
      <c r="C96" s="13" t="s">
        <v>46</v>
      </c>
      <c r="D96" s="33">
        <v>139.80179101604284</v>
      </c>
      <c r="H96" s="5"/>
    </row>
    <row r="97" spans="2:9" ht="16.2" thickBot="1" x14ac:dyDescent="0.35">
      <c r="B97" s="4"/>
      <c r="C97" s="16" t="s">
        <v>1621</v>
      </c>
      <c r="D97" s="34">
        <v>140.99278338613215</v>
      </c>
      <c r="H97" s="5"/>
    </row>
    <row r="98" spans="2:9" x14ac:dyDescent="0.3">
      <c r="B98" s="4"/>
      <c r="H98" s="5"/>
    </row>
    <row r="99" spans="2:9" ht="16.2" thickBot="1" x14ac:dyDescent="0.35">
      <c r="B99" s="6"/>
      <c r="C99" s="7"/>
      <c r="D99" s="7"/>
      <c r="E99" s="7"/>
      <c r="F99" s="7"/>
      <c r="G99" s="7"/>
      <c r="H99" s="8"/>
    </row>
    <row r="101" spans="2:9" ht="16.2" thickBot="1" x14ac:dyDescent="0.35"/>
    <row r="102" spans="2:9" ht="16.2" thickBot="1" x14ac:dyDescent="0.35">
      <c r="B102" s="1"/>
      <c r="C102" s="2"/>
      <c r="D102" s="2"/>
      <c r="E102" s="2"/>
      <c r="F102" s="2"/>
      <c r="G102" s="2"/>
      <c r="H102" s="2"/>
      <c r="I102" s="3"/>
    </row>
    <row r="103" spans="2:9" ht="16.2" thickBot="1" x14ac:dyDescent="0.35">
      <c r="B103" s="4"/>
      <c r="C103" s="14" t="s">
        <v>1620</v>
      </c>
      <c r="D103" s="9" t="s">
        <v>1613</v>
      </c>
      <c r="I103" s="5"/>
    </row>
    <row r="104" spans="2:9" x14ac:dyDescent="0.3">
      <c r="B104" s="4"/>
      <c r="C104" s="15" t="s">
        <v>40</v>
      </c>
      <c r="D104" s="35">
        <v>1083</v>
      </c>
      <c r="I104" s="5"/>
    </row>
    <row r="105" spans="2:9" x14ac:dyDescent="0.3">
      <c r="B105" s="4"/>
      <c r="C105" s="12" t="s">
        <v>16</v>
      </c>
      <c r="D105" s="36">
        <v>5577</v>
      </c>
      <c r="I105" s="5"/>
    </row>
    <row r="106" spans="2:9" x14ac:dyDescent="0.3">
      <c r="B106" s="4"/>
      <c r="C106" s="12" t="s">
        <v>22</v>
      </c>
      <c r="D106" s="36">
        <v>928</v>
      </c>
      <c r="I106" s="5"/>
    </row>
    <row r="107" spans="2:9" ht="16.2" thickBot="1" x14ac:dyDescent="0.35">
      <c r="B107" s="4"/>
      <c r="C107" s="13" t="s">
        <v>46</v>
      </c>
      <c r="D107" s="36">
        <v>935</v>
      </c>
      <c r="I107" s="5"/>
    </row>
    <row r="108" spans="2:9" ht="16.2" thickBot="1" x14ac:dyDescent="0.35">
      <c r="B108" s="4"/>
      <c r="C108" s="16" t="s">
        <v>1621</v>
      </c>
      <c r="D108" s="37">
        <v>8523</v>
      </c>
      <c r="I108" s="5"/>
    </row>
    <row r="109" spans="2:9" x14ac:dyDescent="0.3">
      <c r="B109" s="4"/>
      <c r="I109" s="5"/>
    </row>
    <row r="110" spans="2:9" x14ac:dyDescent="0.3">
      <c r="B110" s="4"/>
      <c r="I110" s="5"/>
    </row>
    <row r="111" spans="2:9" ht="16.2" thickBot="1" x14ac:dyDescent="0.35">
      <c r="B111" s="6"/>
      <c r="C111" s="7"/>
      <c r="D111" s="7"/>
      <c r="E111" s="7"/>
      <c r="F111" s="7"/>
      <c r="G111" s="7"/>
      <c r="H111" s="7"/>
      <c r="I111" s="8"/>
    </row>
    <row r="8535" ht="16.2" thickBot="1" x14ac:dyDescent="0.35"/>
  </sheetData>
  <mergeCells count="7">
    <mergeCell ref="C57:H57"/>
    <mergeCell ref="C68:H68"/>
    <mergeCell ref="B2:E2"/>
    <mergeCell ref="O23:W23"/>
    <mergeCell ref="C23:K23"/>
    <mergeCell ref="B10:G10"/>
    <mergeCell ref="D41:L4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511BD-8F70-4AD3-9DF6-1E1CC8AA6E18}">
  <sheetPr>
    <tabColor rgb="FFFFD200"/>
  </sheetPr>
  <dimension ref="A1"/>
  <sheetViews>
    <sheetView showGridLines="0" tabSelected="1" zoomScale="69" zoomScaleNormal="69" workbookViewId="0">
      <selection activeCell="C19" sqref="C19"/>
    </sheetView>
  </sheetViews>
  <sheetFormatPr defaultRowHeight="15.6"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Shrivardhine C</cp:lastModifiedBy>
  <dcterms:created xsi:type="dcterms:W3CDTF">2024-06-23T13:11:17Z</dcterms:created>
  <dcterms:modified xsi:type="dcterms:W3CDTF">2025-01-13T16:34:56Z</dcterms:modified>
</cp:coreProperties>
</file>